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brian.battaile\Documents\GitHub\New_England_Fin_Whale\SSM\Data\Raw Tag Data\"/>
    </mc:Choice>
  </mc:AlternateContent>
  <xr:revisionPtr revIDLastSave="0" documentId="13_ncr:1_{6F07026C-DF4E-479B-AF85-CD3DD0209B4B}" xr6:coauthVersionLast="47" xr6:coauthVersionMax="47" xr10:uidLastSave="{00000000-0000-0000-0000-000000000000}"/>
  <bookViews>
    <workbookView xWindow="590" yWindow="1110" windowWidth="18610" windowHeight="8970" activeTab="2" xr2:uid="{00000000-000D-0000-FFFF-FFFF00000000}"/>
  </bookViews>
  <sheets>
    <sheet name="DEPLOYMENTS" sheetId="1" r:id="rId1"/>
    <sheet name="Start_End" sheetId="2" r:id="rId2"/>
    <sheet name="Tab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0" i="3" l="1"/>
  <c r="H10" i="3"/>
  <c r="H11" i="3"/>
  <c r="H12" i="3"/>
  <c r="H13" i="3"/>
  <c r="H14" i="3"/>
  <c r="H15" i="3"/>
  <c r="H16" i="3"/>
  <c r="H17" i="3"/>
  <c r="H18" i="3"/>
  <c r="H19" i="3"/>
  <c r="H20" i="3"/>
  <c r="H22" i="3"/>
  <c r="H23" i="3"/>
  <c r="H24" i="3"/>
  <c r="H25" i="3"/>
  <c r="H26" i="3"/>
  <c r="H27" i="3"/>
  <c r="H28" i="3"/>
  <c r="H29" i="3"/>
  <c r="H8" i="3"/>
  <c r="H30" i="3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" i="2"/>
</calcChain>
</file>

<file path=xl/sharedStrings.xml><?xml version="1.0" encoding="utf-8"?>
<sst xmlns="http://schemas.openxmlformats.org/spreadsheetml/2006/main" count="219" uniqueCount="157">
  <si>
    <t>SPECIES</t>
  </si>
  <si>
    <t>WHALE_ID</t>
  </si>
  <si>
    <t>PTT</t>
  </si>
  <si>
    <t>SEX</t>
  </si>
  <si>
    <t>DEPLOYMENT_LAT</t>
  </si>
  <si>
    <t>DEPLOYMENT_LONG</t>
  </si>
  <si>
    <t>BIOPSY</t>
  </si>
  <si>
    <t>TAGGER</t>
  </si>
  <si>
    <t>PERMIT</t>
  </si>
  <si>
    <t>COMMENTS</t>
  </si>
  <si>
    <t>BALAENOPTERA PHYSALUS</t>
  </si>
  <si>
    <t>CCS-1402</t>
  </si>
  <si>
    <t>TBD</t>
  </si>
  <si>
    <t>2022.06.30 22:39:00</t>
  </si>
  <si>
    <t>CCS2022-033</t>
  </si>
  <si>
    <t>2022.10.05 10:57:00</t>
  </si>
  <si>
    <t>2022.07.14 15:05:00</t>
  </si>
  <si>
    <t>2022.07.24</t>
  </si>
  <si>
    <t>ZERBINI</t>
  </si>
  <si>
    <t>CCS-1609</t>
  </si>
  <si>
    <t>Unk</t>
  </si>
  <si>
    <t>2022.06.28 20:26:00</t>
  </si>
  <si>
    <t>2022.08.03 17:21:00</t>
  </si>
  <si>
    <t>2024.09.27</t>
  </si>
  <si>
    <t>CCS-0521</t>
  </si>
  <si>
    <t>Male</t>
  </si>
  <si>
    <t>2022.06.30 19:17:00</t>
  </si>
  <si>
    <t>CCS2022-032</t>
  </si>
  <si>
    <t>2022.08.05 12:03:14</t>
  </si>
  <si>
    <t>2022.09.17 22:51:00</t>
  </si>
  <si>
    <t>2024.05.28</t>
  </si>
  <si>
    <t>CCS-2013</t>
  </si>
  <si>
    <t>2022.07.03 15:20:00</t>
  </si>
  <si>
    <t>CCS2022-036</t>
  </si>
  <si>
    <t>2022.07.21 07:18:19</t>
  </si>
  <si>
    <t>2022.09.17 22:49:00</t>
  </si>
  <si>
    <t>2024.04.16</t>
  </si>
  <si>
    <t>CCS-0710</t>
  </si>
  <si>
    <t>2022.07.04 14:53:00</t>
  </si>
  <si>
    <t>CCS2022-038</t>
  </si>
  <si>
    <t>2022.08.07 10:09:34</t>
  </si>
  <si>
    <t>2022.08.03 15:07:00</t>
  </si>
  <si>
    <t>2024.05.15</t>
  </si>
  <si>
    <t>LYNCH</t>
  </si>
  <si>
    <t>CCS-0914</t>
  </si>
  <si>
    <t>2022.07.03 14:08:00</t>
  </si>
  <si>
    <t>CCS2022-034</t>
  </si>
  <si>
    <t>2022.07.24 12:50:18</t>
  </si>
  <si>
    <t>2022.08.03 16:10:00</t>
  </si>
  <si>
    <t>CCS-2001</t>
  </si>
  <si>
    <t>2022.07.03 14:39:00</t>
  </si>
  <si>
    <t>CCS2022-035</t>
  </si>
  <si>
    <t>2022.08.02 20:27:09</t>
  </si>
  <si>
    <t>2022.07.03 17:00:00</t>
  </si>
  <si>
    <t>2022.07.03</t>
  </si>
  <si>
    <t>CCS-0187</t>
  </si>
  <si>
    <t>2022.07.04 15:16:00</t>
  </si>
  <si>
    <t>CCS2022-039</t>
  </si>
  <si>
    <t>2022.08.07 05:35:01</t>
  </si>
  <si>
    <t>2022.08.03 15:04:00</t>
  </si>
  <si>
    <t>2022.08.03</t>
  </si>
  <si>
    <t>TACKABERRY</t>
  </si>
  <si>
    <t>CCS-0921</t>
  </si>
  <si>
    <t>2023.07.25 14:58:00</t>
  </si>
  <si>
    <t>CCS2023-021</t>
  </si>
  <si>
    <t>2023.08.05 23:39:40</t>
  </si>
  <si>
    <t>2023.07.25 15:17:00</t>
  </si>
  <si>
    <t>2024.05.13</t>
  </si>
  <si>
    <t>CCS-1013</t>
  </si>
  <si>
    <t>2023.07.25 15:32:00</t>
  </si>
  <si>
    <t>CCS2023-022</t>
  </si>
  <si>
    <t>2023.08.09 11:24:44</t>
  </si>
  <si>
    <t>2023.08.10 16:19:00</t>
  </si>
  <si>
    <t>2023.08.24</t>
  </si>
  <si>
    <t>TAG VISUALLY CONFIRMED SHED ON 2023.08.10 (1 DAY LATER)</t>
  </si>
  <si>
    <t>CCS-0811</t>
  </si>
  <si>
    <t>2023.07.25 16:31:00</t>
  </si>
  <si>
    <t>CCS2023-023</t>
  </si>
  <si>
    <t>2023.08.12 09:55:21</t>
  </si>
  <si>
    <t>2023.08.10 16:28:00</t>
  </si>
  <si>
    <t>2024.07.19</t>
  </si>
  <si>
    <t>LAST FOLLOW-UP ONE DAY BEFORE TRANSMISSION FAILURE</t>
  </si>
  <si>
    <t>CCS-0304</t>
  </si>
  <si>
    <t>2023.07.25 17:08:00</t>
  </si>
  <si>
    <t>CCS2023-025</t>
  </si>
  <si>
    <t>2023.07.28 13:37:20</t>
  </si>
  <si>
    <t>2023.08.02 20:16:00</t>
  </si>
  <si>
    <t>2024.07.03</t>
  </si>
  <si>
    <t>TRANSMISSION FAILURE AFTER 2023.07.28 WHILE STILL ATTACHED</t>
  </si>
  <si>
    <t>CCS-0511</t>
  </si>
  <si>
    <t>2023.08.10 15:11:00</t>
  </si>
  <si>
    <t>CCS2023-027</t>
  </si>
  <si>
    <t>2023.08.25 09:11:25</t>
  </si>
  <si>
    <t>2023.08.10 16:54:00</t>
  </si>
  <si>
    <t>BLOOD ON DEPLOYMENT</t>
  </si>
  <si>
    <t>CCS-1407</t>
  </si>
  <si>
    <t>2023.09.07 16:27:00</t>
  </si>
  <si>
    <t>2023.09.07</t>
  </si>
  <si>
    <t>MISSED SHOT/TAG LOST</t>
  </si>
  <si>
    <t>CCS-2307</t>
  </si>
  <si>
    <t>2023.10.12 14:22:00</t>
  </si>
  <si>
    <t>CCS2023-042</t>
  </si>
  <si>
    <t>2023.10.13 11:44:15</t>
  </si>
  <si>
    <t>2023.10.12 14:55:00</t>
  </si>
  <si>
    <t>CCS-2402</t>
  </si>
  <si>
    <t>CCS2024-019</t>
  </si>
  <si>
    <t>2024.07.19 17:59:35</t>
  </si>
  <si>
    <t>STRONG REPONSE TO TAGGING</t>
  </si>
  <si>
    <t>CCS-2404</t>
  </si>
  <si>
    <t>2024.07.22 16:19:00</t>
  </si>
  <si>
    <t>CCS-0064</t>
  </si>
  <si>
    <t>CCS2024-027</t>
  </si>
  <si>
    <t>CCS-0518</t>
  </si>
  <si>
    <t>Female</t>
  </si>
  <si>
    <t>CCS2024-032</t>
  </si>
  <si>
    <t>2024.08.23?</t>
  </si>
  <si>
    <t>TAG STOPPED TRANSMITTING PREMATURELY.  CONFIRMED STILL PRESENT ON 2023.08.23</t>
  </si>
  <si>
    <t>BOF-1</t>
  </si>
  <si>
    <t>CERCHIO</t>
  </si>
  <si>
    <t>CANADA</t>
  </si>
  <si>
    <t>TAGGED BY DANI ET AL. IN BAY OF FUNDY</t>
  </si>
  <si>
    <t>BOF-2</t>
  </si>
  <si>
    <t>CCS-2407</t>
  </si>
  <si>
    <t>CCS2024-046</t>
  </si>
  <si>
    <t>2024.08.08 17:31:00</t>
  </si>
  <si>
    <t>2024.08.08 21:03:00</t>
  </si>
  <si>
    <t>2024.07.27 18:07:00</t>
  </si>
  <si>
    <t>2024.08.02 15:51:00</t>
  </si>
  <si>
    <t>2024.06.22 14:41:00</t>
  </si>
  <si>
    <t>2024.08.29 10:25:34</t>
  </si>
  <si>
    <t>2024.09.20 11:21:44</t>
  </si>
  <si>
    <t>2024.08.05 04:34:14</t>
  </si>
  <si>
    <t>2024.09.20 23:33:29</t>
  </si>
  <si>
    <t>2024.09.04 00:07:27</t>
  </si>
  <si>
    <t>2024.10.07 20:53:47</t>
  </si>
  <si>
    <t>DEPLOYMENT_DATE_UTC</t>
  </si>
  <si>
    <t>LAST_MSG_DATE_UTC</t>
  </si>
  <si>
    <t>DURATION_DAYS</t>
  </si>
  <si>
    <t>LAST_1ST_SEASON_SIGHTING_UTC</t>
  </si>
  <si>
    <t>FIRST_SEASON_FOLLOW-UP_SPAN--DAYS_INCLUDING_TAGGING_DAY</t>
  </si>
  <si>
    <t>LATEST_FOLLOW_UP_DATE</t>
  </si>
  <si>
    <t>2024.09.16 18:51:00</t>
  </si>
  <si>
    <t>Histos Summary Time in hrs</t>
  </si>
  <si>
    <t>TAD</t>
  </si>
  <si>
    <t>DiveDepth</t>
  </si>
  <si>
    <t>DiveDuration</t>
  </si>
  <si>
    <t>TAT</t>
  </si>
  <si>
    <t>User_Start</t>
  </si>
  <si>
    <t>Last_Message</t>
  </si>
  <si>
    <t>Deployment Date</t>
  </si>
  <si>
    <t>Lat</t>
  </si>
  <si>
    <t>Long</t>
  </si>
  <si>
    <t>Duration Days</t>
  </si>
  <si>
    <t>mean</t>
  </si>
  <si>
    <t>End Date</t>
  </si>
  <si>
    <t>Start Locations File</t>
  </si>
  <si>
    <t>End Locations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</si>
</sst>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&quot;.&quot;mm&quot;.&quot;dd&quot; &quot;hh&quot;:&quot;mm&quot;:&quot;ss"/>
    <numFmt numFmtId="165" formatCode="#,##0.00000"/>
    <numFmt numFmtId="166" formatCode="yyyy\-mm\-dd\ hh:mm:ss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Garamond"/>
      <family val="1"/>
    </font>
    <font>
      <sz val="11"/>
      <color theme="1"/>
      <name val="Garamond"/>
      <family val="1"/>
    </font>
    <font>
      <sz val="10"/>
      <color theme="1"/>
      <name val="Garamond"/>
      <family val="1"/>
    </font>
    <font>
      <sz val="11"/>
      <color rgb="FF000000"/>
      <name val="Garamond"/>
      <family val="1"/>
    </font>
    <font>
      <sz val="10"/>
      <color rgb="FF000000"/>
      <name val="Garamond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1" fillId="0" borderId="0" xfId="0" applyFont="1" applyAlignment="1">
      <alignment horizontal="right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164" fontId="5" fillId="0" borderId="0" xfId="0" applyNumberFormat="1" applyFont="1" applyFill="1" applyAlignment="1">
      <alignment horizontal="center"/>
    </xf>
    <xf numFmtId="0" fontId="6" fillId="0" borderId="0" xfId="0" applyFont="1" applyAlignment="1"/>
    <xf numFmtId="4" fontId="3" fillId="0" borderId="0" xfId="0" applyNumberFormat="1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3" fillId="0" borderId="1" xfId="0" applyFont="1" applyBorder="1" applyAlignment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5" fillId="0" borderId="1" xfId="0" applyNumberFormat="1" applyFont="1" applyFill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6" fillId="0" borderId="1" xfId="0" applyFont="1" applyBorder="1" applyAlignment="1"/>
    <xf numFmtId="0" fontId="0" fillId="0" borderId="1" xfId="0" applyFont="1" applyBorder="1" applyAlignment="1"/>
    <xf numFmtId="4" fontId="3" fillId="0" borderId="1" xfId="0" applyNumberFormat="1" applyFont="1" applyBorder="1" applyAlignment="1">
      <alignment horizontal="center"/>
    </xf>
    <xf numFmtId="0" fontId="0" fillId="0" borderId="0" xfId="0" applyFont="1" applyFill="1" applyBorder="1" applyAlignment="1"/>
    <xf numFmtId="166" fontId="5" fillId="0" borderId="0" xfId="0" applyNumberFormat="1" applyFont="1" applyFill="1" applyAlignment="1">
      <alignment horizontal="center"/>
    </xf>
    <xf numFmtId="166" fontId="5" fillId="0" borderId="1" xfId="0" applyNumberFormat="1" applyFont="1" applyFill="1" applyBorder="1" applyAlignment="1">
      <alignment horizontal="center"/>
    </xf>
    <xf numFmtId="0" fontId="5" fillId="0" borderId="0" xfId="0" applyNumberFormat="1" applyFont="1" applyFill="1" applyAlignment="1">
      <alignment horizontal="center"/>
    </xf>
    <xf numFmtId="0" fontId="0" fillId="3" borderId="0" xfId="0" applyFont="1" applyFill="1" applyAlignment="1"/>
    <xf numFmtId="0" fontId="5" fillId="3" borderId="0" xfId="0" applyFont="1" applyFill="1" applyBorder="1" applyAlignment="1"/>
    <xf numFmtId="0" fontId="2" fillId="3" borderId="1" xfId="0" applyFont="1" applyFill="1" applyBorder="1" applyAlignment="1">
      <alignment horizontal="center" wrapText="1"/>
    </xf>
    <xf numFmtId="166" fontId="5" fillId="3" borderId="0" xfId="0" applyNumberFormat="1" applyFont="1" applyFill="1" applyAlignment="1">
      <alignment horizontal="center"/>
    </xf>
    <xf numFmtId="165" fontId="3" fillId="3" borderId="0" xfId="0" applyNumberFormat="1" applyFont="1" applyFill="1" applyAlignment="1">
      <alignment horizontal="center"/>
    </xf>
    <xf numFmtId="2" fontId="5" fillId="3" borderId="0" xfId="0" applyNumberFormat="1" applyFont="1" applyFill="1" applyAlignment="1">
      <alignment horizontal="center"/>
    </xf>
    <xf numFmtId="166" fontId="5" fillId="3" borderId="3" xfId="0" applyNumberFormat="1" applyFont="1" applyFill="1" applyBorder="1" applyAlignment="1">
      <alignment horizontal="center"/>
    </xf>
    <xf numFmtId="165" fontId="3" fillId="3" borderId="3" xfId="0" applyNumberFormat="1" applyFont="1" applyFill="1" applyBorder="1" applyAlignment="1">
      <alignment horizontal="center"/>
    </xf>
    <xf numFmtId="2" fontId="5" fillId="3" borderId="3" xfId="0" applyNumberFormat="1" applyFont="1" applyFill="1" applyBorder="1" applyAlignment="1">
      <alignment horizontal="center"/>
    </xf>
    <xf numFmtId="166" fontId="5" fillId="3" borderId="0" xfId="0" applyNumberFormat="1" applyFont="1" applyFill="1" applyBorder="1" applyAlignment="1">
      <alignment horizontal="center"/>
    </xf>
    <xf numFmtId="165" fontId="3" fillId="3" borderId="0" xfId="0" applyNumberFormat="1" applyFont="1" applyFill="1" applyBorder="1" applyAlignment="1">
      <alignment horizontal="center"/>
    </xf>
    <xf numFmtId="2" fontId="5" fillId="3" borderId="0" xfId="0" applyNumberFormat="1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2" fontId="5" fillId="3" borderId="2" xfId="0" applyNumberFormat="1" applyFont="1" applyFill="1" applyBorder="1" applyAlignment="1">
      <alignment horizontal="center"/>
    </xf>
    <xf numFmtId="22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004"/>
  <sheetViews>
    <sheetView topLeftCell="G1" workbookViewId="0">
      <pane ySplit="1" topLeftCell="A2" activePane="bottomLeft" state="frozen"/>
      <selection pane="bottomLeft" activeCell="I2" sqref="I2"/>
    </sheetView>
  </sheetViews>
  <sheetFormatPr defaultColWidth="12.6328125" defaultRowHeight="15.75" customHeight="1" x14ac:dyDescent="0.25"/>
  <cols>
    <col min="1" max="1" width="27.36328125" bestFit="1" customWidth="1"/>
    <col min="5" max="5" width="30.54296875" customWidth="1"/>
    <col min="6" max="6" width="23.36328125" customWidth="1"/>
    <col min="7" max="7" width="25.90625" customWidth="1"/>
    <col min="8" max="8" width="15.08984375" customWidth="1"/>
    <col min="9" max="9" width="25.54296875" customWidth="1"/>
    <col min="10" max="10" width="21.6328125" customWidth="1"/>
    <col min="11" max="11" width="21.81640625" customWidth="1"/>
    <col min="12" max="12" width="18.90625" customWidth="1"/>
    <col min="13" max="13" width="24.54296875" customWidth="1"/>
    <col min="14" max="15" width="11.90625" customWidth="1"/>
    <col min="16" max="16" width="75.453125" customWidth="1"/>
  </cols>
  <sheetData>
    <row r="1" spans="1:21" ht="67.25" customHeight="1" x14ac:dyDescent="0.35">
      <c r="A1" s="2" t="s">
        <v>0</v>
      </c>
      <c r="B1" s="3" t="s">
        <v>1</v>
      </c>
      <c r="C1" s="3" t="s">
        <v>2</v>
      </c>
      <c r="D1" s="3" t="s">
        <v>3</v>
      </c>
      <c r="E1" s="4" t="s">
        <v>135</v>
      </c>
      <c r="F1" s="4" t="s">
        <v>4</v>
      </c>
      <c r="G1" s="4" t="s">
        <v>5</v>
      </c>
      <c r="H1" s="4" t="s">
        <v>6</v>
      </c>
      <c r="I1" s="4" t="s">
        <v>136</v>
      </c>
      <c r="J1" s="4" t="s">
        <v>137</v>
      </c>
      <c r="K1" s="4" t="s">
        <v>138</v>
      </c>
      <c r="L1" s="4" t="s">
        <v>139</v>
      </c>
      <c r="M1" s="4" t="s">
        <v>140</v>
      </c>
      <c r="N1" s="3" t="s">
        <v>7</v>
      </c>
      <c r="O1" s="3" t="s">
        <v>8</v>
      </c>
      <c r="P1" s="2" t="s">
        <v>9</v>
      </c>
      <c r="Q1" t="s">
        <v>142</v>
      </c>
      <c r="R1" t="s">
        <v>146</v>
      </c>
      <c r="S1" t="s">
        <v>143</v>
      </c>
      <c r="T1" t="s">
        <v>144</v>
      </c>
      <c r="U1" t="s">
        <v>145</v>
      </c>
    </row>
    <row r="2" spans="1:21" ht="14.5" x14ac:dyDescent="0.35">
      <c r="A2" s="5" t="s">
        <v>10</v>
      </c>
      <c r="B2" s="6" t="s">
        <v>11</v>
      </c>
      <c r="C2" s="6">
        <v>234798</v>
      </c>
      <c r="D2" s="7" t="s">
        <v>12</v>
      </c>
      <c r="E2" s="9" t="s">
        <v>13</v>
      </c>
      <c r="F2" s="8">
        <v>42.076427000000002</v>
      </c>
      <c r="G2" s="8">
        <v>-70.243111999999996</v>
      </c>
      <c r="H2" s="6" t="s">
        <v>14</v>
      </c>
      <c r="I2" s="9" t="s">
        <v>15</v>
      </c>
      <c r="J2" s="6">
        <v>96.51</v>
      </c>
      <c r="K2" s="6" t="s">
        <v>16</v>
      </c>
      <c r="L2" s="6">
        <v>14.68</v>
      </c>
      <c r="M2" s="6" t="s">
        <v>17</v>
      </c>
      <c r="N2" s="7" t="s">
        <v>18</v>
      </c>
      <c r="O2" s="7">
        <v>21938</v>
      </c>
      <c r="P2" s="10"/>
      <c r="Q2">
        <v>24</v>
      </c>
      <c r="S2">
        <v>8</v>
      </c>
      <c r="T2">
        <v>9</v>
      </c>
      <c r="U2">
        <v>14</v>
      </c>
    </row>
    <row r="3" spans="1:21" ht="14.5" x14ac:dyDescent="0.35">
      <c r="A3" s="5" t="s">
        <v>10</v>
      </c>
      <c r="B3" s="6" t="s">
        <v>19</v>
      </c>
      <c r="C3" s="6">
        <v>234799</v>
      </c>
      <c r="D3" s="7" t="s">
        <v>20</v>
      </c>
      <c r="E3" s="9" t="s">
        <v>21</v>
      </c>
      <c r="F3" s="8">
        <v>42.019872999999997</v>
      </c>
      <c r="G3" s="8">
        <v>-69.971596000000005</v>
      </c>
      <c r="H3" s="6"/>
      <c r="I3" s="9"/>
      <c r="J3" s="7"/>
      <c r="K3" s="6" t="s">
        <v>22</v>
      </c>
      <c r="L3" s="6">
        <v>36.869999999999997</v>
      </c>
      <c r="M3" s="6" t="s">
        <v>23</v>
      </c>
      <c r="N3" s="7" t="s">
        <v>18</v>
      </c>
      <c r="O3" s="7">
        <v>21938</v>
      </c>
      <c r="P3" s="10"/>
    </row>
    <row r="4" spans="1:21" ht="14.5" x14ac:dyDescent="0.35">
      <c r="A4" s="5" t="s">
        <v>10</v>
      </c>
      <c r="B4" s="6" t="s">
        <v>24</v>
      </c>
      <c r="C4" s="6">
        <v>234800</v>
      </c>
      <c r="D4" s="7" t="s">
        <v>25</v>
      </c>
      <c r="E4" s="9" t="s">
        <v>26</v>
      </c>
      <c r="F4" s="8">
        <v>42.161428999999998</v>
      </c>
      <c r="G4" s="8">
        <v>-70.110006999999996</v>
      </c>
      <c r="H4" s="6" t="s">
        <v>27</v>
      </c>
      <c r="I4" s="9" t="s">
        <v>28</v>
      </c>
      <c r="J4" s="6">
        <v>35.700000000000003</v>
      </c>
      <c r="K4" s="6" t="s">
        <v>29</v>
      </c>
      <c r="L4" s="6">
        <v>80.150000000000006</v>
      </c>
      <c r="M4" s="6" t="s">
        <v>30</v>
      </c>
      <c r="N4" s="7" t="s">
        <v>18</v>
      </c>
      <c r="O4" s="7">
        <v>21938</v>
      </c>
      <c r="P4" s="10"/>
      <c r="Q4">
        <v>24</v>
      </c>
      <c r="S4">
        <v>7</v>
      </c>
      <c r="T4">
        <v>7</v>
      </c>
      <c r="U4">
        <v>12</v>
      </c>
    </row>
    <row r="5" spans="1:21" ht="14.5" x14ac:dyDescent="0.35">
      <c r="A5" s="5" t="s">
        <v>10</v>
      </c>
      <c r="B5" s="6" t="s">
        <v>31</v>
      </c>
      <c r="C5" s="6">
        <v>234801</v>
      </c>
      <c r="D5" s="7" t="s">
        <v>12</v>
      </c>
      <c r="E5" s="9" t="s">
        <v>32</v>
      </c>
      <c r="F5" s="8">
        <v>42.138857999999999</v>
      </c>
      <c r="G5" s="8">
        <v>-70.159531000000001</v>
      </c>
      <c r="H5" s="6" t="s">
        <v>33</v>
      </c>
      <c r="I5" s="9" t="s">
        <v>34</v>
      </c>
      <c r="J5" s="6">
        <v>17.670000000000002</v>
      </c>
      <c r="K5" s="6" t="s">
        <v>35</v>
      </c>
      <c r="L5" s="6">
        <v>77.31</v>
      </c>
      <c r="M5" s="6" t="s">
        <v>36</v>
      </c>
      <c r="N5" s="7" t="s">
        <v>18</v>
      </c>
      <c r="O5" s="7">
        <v>21938</v>
      </c>
      <c r="P5" s="10"/>
      <c r="Q5">
        <v>24</v>
      </c>
      <c r="S5">
        <v>7</v>
      </c>
      <c r="T5">
        <v>8</v>
      </c>
      <c r="U5">
        <v>11</v>
      </c>
    </row>
    <row r="6" spans="1:21" ht="14.5" x14ac:dyDescent="0.35">
      <c r="A6" s="5" t="s">
        <v>10</v>
      </c>
      <c r="B6" s="6" t="s">
        <v>37</v>
      </c>
      <c r="C6" s="6">
        <v>234802</v>
      </c>
      <c r="D6" s="7" t="s">
        <v>12</v>
      </c>
      <c r="E6" s="9" t="s">
        <v>38</v>
      </c>
      <c r="F6" s="8">
        <v>42.123652</v>
      </c>
      <c r="G6" s="8">
        <v>-70.181951999999995</v>
      </c>
      <c r="H6" s="6" t="s">
        <v>39</v>
      </c>
      <c r="I6" s="9" t="s">
        <v>40</v>
      </c>
      <c r="J6" s="6">
        <v>33.799999999999997</v>
      </c>
      <c r="K6" s="6" t="s">
        <v>41</v>
      </c>
      <c r="L6" s="6">
        <v>31.01</v>
      </c>
      <c r="M6" s="6" t="s">
        <v>42</v>
      </c>
      <c r="N6" s="7" t="s">
        <v>43</v>
      </c>
      <c r="O6" s="7">
        <v>21938</v>
      </c>
      <c r="P6" s="10"/>
      <c r="Q6">
        <v>24</v>
      </c>
      <c r="S6">
        <v>8</v>
      </c>
      <c r="T6">
        <v>8</v>
      </c>
      <c r="U6">
        <v>14</v>
      </c>
    </row>
    <row r="7" spans="1:21" ht="14.5" x14ac:dyDescent="0.35">
      <c r="A7" s="5" t="s">
        <v>10</v>
      </c>
      <c r="B7" s="6" t="s">
        <v>44</v>
      </c>
      <c r="C7" s="6">
        <v>234803</v>
      </c>
      <c r="D7" s="7" t="s">
        <v>12</v>
      </c>
      <c r="E7" s="9" t="s">
        <v>45</v>
      </c>
      <c r="F7" s="8">
        <v>42.121316</v>
      </c>
      <c r="G7" s="8">
        <v>-70.146879999999996</v>
      </c>
      <c r="H7" s="6" t="s">
        <v>46</v>
      </c>
      <c r="I7" s="9" t="s">
        <v>47</v>
      </c>
      <c r="J7" s="6">
        <v>20.95</v>
      </c>
      <c r="K7" s="6" t="s">
        <v>48</v>
      </c>
      <c r="L7" s="6">
        <v>32.08</v>
      </c>
      <c r="M7" s="6" t="s">
        <v>42</v>
      </c>
      <c r="N7" s="7" t="s">
        <v>18</v>
      </c>
      <c r="O7" s="7">
        <v>21938</v>
      </c>
      <c r="P7" s="10"/>
      <c r="Q7">
        <v>1</v>
      </c>
      <c r="S7">
        <v>6</v>
      </c>
      <c r="T7">
        <v>6</v>
      </c>
      <c r="U7">
        <v>12</v>
      </c>
    </row>
    <row r="8" spans="1:21" ht="14.5" x14ac:dyDescent="0.35">
      <c r="A8" s="5" t="s">
        <v>10</v>
      </c>
      <c r="B8" s="6" t="s">
        <v>49</v>
      </c>
      <c r="C8" s="6">
        <v>234804</v>
      </c>
      <c r="D8" s="7" t="s">
        <v>25</v>
      </c>
      <c r="E8" s="9" t="s">
        <v>50</v>
      </c>
      <c r="F8" s="8">
        <v>42.127166000000003</v>
      </c>
      <c r="G8" s="8">
        <v>-70.158700999999994</v>
      </c>
      <c r="H8" s="6" t="s">
        <v>51</v>
      </c>
      <c r="I8" s="9" t="s">
        <v>52</v>
      </c>
      <c r="J8" s="6">
        <v>30.24</v>
      </c>
      <c r="K8" s="6" t="s">
        <v>53</v>
      </c>
      <c r="L8" s="6">
        <v>1.1000000000000001</v>
      </c>
      <c r="M8" s="6" t="s">
        <v>54</v>
      </c>
      <c r="N8" s="7" t="s">
        <v>18</v>
      </c>
      <c r="O8" s="7">
        <v>21938</v>
      </c>
      <c r="P8" s="10"/>
      <c r="Q8">
        <v>1</v>
      </c>
      <c r="S8">
        <v>9</v>
      </c>
      <c r="T8">
        <v>9</v>
      </c>
      <c r="U8">
        <v>9</v>
      </c>
    </row>
    <row r="9" spans="1:21" ht="15" thickBot="1" x14ac:dyDescent="0.4">
      <c r="A9" s="18" t="s">
        <v>10</v>
      </c>
      <c r="B9" s="19" t="s">
        <v>55</v>
      </c>
      <c r="C9" s="19">
        <v>234805</v>
      </c>
      <c r="D9" s="20" t="s">
        <v>12</v>
      </c>
      <c r="E9" s="21" t="s">
        <v>56</v>
      </c>
      <c r="F9" s="22">
        <v>42.132337999999997</v>
      </c>
      <c r="G9" s="22">
        <v>-70.165165000000002</v>
      </c>
      <c r="H9" s="19" t="s">
        <v>57</v>
      </c>
      <c r="I9" s="21" t="s">
        <v>58</v>
      </c>
      <c r="J9" s="19">
        <v>33.6</v>
      </c>
      <c r="K9" s="19" t="s">
        <v>59</v>
      </c>
      <c r="L9" s="19">
        <v>30.99</v>
      </c>
      <c r="M9" s="19" t="s">
        <v>60</v>
      </c>
      <c r="N9" s="20" t="s">
        <v>61</v>
      </c>
      <c r="O9" s="20">
        <v>21938</v>
      </c>
      <c r="P9" s="23"/>
      <c r="Q9" s="24">
        <v>1</v>
      </c>
      <c r="R9" s="24"/>
      <c r="S9" s="24">
        <v>7</v>
      </c>
      <c r="T9" s="24">
        <v>7</v>
      </c>
      <c r="U9" s="24">
        <v>12</v>
      </c>
    </row>
    <row r="10" spans="1:21" ht="14.5" x14ac:dyDescent="0.35">
      <c r="A10" s="5" t="s">
        <v>10</v>
      </c>
      <c r="B10" s="6" t="s">
        <v>62</v>
      </c>
      <c r="C10" s="6">
        <v>243055</v>
      </c>
      <c r="D10" s="7" t="s">
        <v>25</v>
      </c>
      <c r="E10" s="9" t="s">
        <v>63</v>
      </c>
      <c r="F10" s="8">
        <v>42.106588000000002</v>
      </c>
      <c r="G10" s="8">
        <v>-70.195516999999995</v>
      </c>
      <c r="H10" s="6" t="s">
        <v>64</v>
      </c>
      <c r="I10" s="9" t="s">
        <v>65</v>
      </c>
      <c r="J10" s="11">
        <v>11.36</v>
      </c>
      <c r="K10" s="6" t="s">
        <v>66</v>
      </c>
      <c r="L10" s="6">
        <v>0</v>
      </c>
      <c r="M10" s="6" t="s">
        <v>67</v>
      </c>
      <c r="N10" s="7" t="s">
        <v>43</v>
      </c>
      <c r="O10" s="7">
        <v>21938</v>
      </c>
      <c r="P10" s="12"/>
      <c r="Q10">
        <v>1</v>
      </c>
      <c r="S10" s="26">
        <v>7</v>
      </c>
      <c r="T10" s="26">
        <v>7</v>
      </c>
      <c r="U10" s="26">
        <v>13</v>
      </c>
    </row>
    <row r="11" spans="1:21" ht="14.5" x14ac:dyDescent="0.35">
      <c r="A11" s="5" t="s">
        <v>10</v>
      </c>
      <c r="B11" s="6" t="s">
        <v>68</v>
      </c>
      <c r="C11" s="6">
        <v>243058</v>
      </c>
      <c r="D11" s="7" t="s">
        <v>12</v>
      </c>
      <c r="E11" s="9" t="s">
        <v>69</v>
      </c>
      <c r="F11" s="8">
        <v>42.105674</v>
      </c>
      <c r="G11" s="8">
        <v>-70.193746000000004</v>
      </c>
      <c r="H11" s="6" t="s">
        <v>70</v>
      </c>
      <c r="I11" s="9" t="s">
        <v>71</v>
      </c>
      <c r="J11" s="11">
        <v>14.82</v>
      </c>
      <c r="K11" s="6" t="s">
        <v>72</v>
      </c>
      <c r="L11" s="6">
        <v>17</v>
      </c>
      <c r="M11" s="6" t="s">
        <v>73</v>
      </c>
      <c r="N11" s="13" t="s">
        <v>43</v>
      </c>
      <c r="O11" s="7">
        <v>21938</v>
      </c>
      <c r="P11" s="12" t="s">
        <v>74</v>
      </c>
      <c r="Q11">
        <v>1</v>
      </c>
      <c r="S11" s="26">
        <v>6</v>
      </c>
      <c r="T11" s="26">
        <v>6</v>
      </c>
      <c r="U11" s="26">
        <v>14</v>
      </c>
    </row>
    <row r="12" spans="1:21" ht="14.5" x14ac:dyDescent="0.35">
      <c r="A12" s="5" t="s">
        <v>10</v>
      </c>
      <c r="B12" s="6" t="s">
        <v>75</v>
      </c>
      <c r="C12" s="6">
        <v>243065</v>
      </c>
      <c r="D12" s="7" t="s">
        <v>25</v>
      </c>
      <c r="E12" s="9" t="s">
        <v>76</v>
      </c>
      <c r="F12" s="8">
        <v>42.106597000000001</v>
      </c>
      <c r="G12" s="8">
        <v>-70.215326000000005</v>
      </c>
      <c r="H12" s="6" t="s">
        <v>77</v>
      </c>
      <c r="I12" s="9" t="s">
        <v>78</v>
      </c>
      <c r="J12" s="11">
        <v>17.73</v>
      </c>
      <c r="K12" s="6" t="s">
        <v>79</v>
      </c>
      <c r="L12" s="6">
        <v>17</v>
      </c>
      <c r="M12" s="14" t="s">
        <v>80</v>
      </c>
      <c r="N12" s="7" t="s">
        <v>43</v>
      </c>
      <c r="O12" s="7">
        <v>21938</v>
      </c>
      <c r="P12" s="12" t="s">
        <v>81</v>
      </c>
    </row>
    <row r="13" spans="1:21" ht="14.5" x14ac:dyDescent="0.35">
      <c r="A13" s="5" t="s">
        <v>10</v>
      </c>
      <c r="B13" s="6" t="s">
        <v>82</v>
      </c>
      <c r="C13" s="6">
        <v>243052</v>
      </c>
      <c r="D13" s="7" t="s">
        <v>12</v>
      </c>
      <c r="E13" s="9" t="s">
        <v>83</v>
      </c>
      <c r="F13" s="8">
        <v>42.134957999999997</v>
      </c>
      <c r="G13" s="8">
        <v>-70.245268999999993</v>
      </c>
      <c r="H13" s="6" t="s">
        <v>84</v>
      </c>
      <c r="I13" s="9" t="s">
        <v>85</v>
      </c>
      <c r="J13" s="11">
        <v>2.85</v>
      </c>
      <c r="K13" s="6" t="s">
        <v>86</v>
      </c>
      <c r="L13" s="6">
        <v>9</v>
      </c>
      <c r="M13" s="6" t="s">
        <v>87</v>
      </c>
      <c r="N13" s="13" t="s">
        <v>43</v>
      </c>
      <c r="O13" s="7">
        <v>21938</v>
      </c>
      <c r="P13" s="15" t="s">
        <v>88</v>
      </c>
      <c r="Q13">
        <v>1</v>
      </c>
      <c r="S13">
        <v>6</v>
      </c>
      <c r="T13">
        <v>6</v>
      </c>
      <c r="U13">
        <v>9</v>
      </c>
    </row>
    <row r="14" spans="1:21" ht="14.5" x14ac:dyDescent="0.35">
      <c r="A14" s="5" t="s">
        <v>10</v>
      </c>
      <c r="B14" s="6" t="s">
        <v>89</v>
      </c>
      <c r="C14" s="6">
        <v>243062</v>
      </c>
      <c r="D14" s="7" t="s">
        <v>25</v>
      </c>
      <c r="E14" s="9" t="s">
        <v>90</v>
      </c>
      <c r="F14" s="8">
        <v>42.102891999999997</v>
      </c>
      <c r="G14" s="8">
        <v>-70.184601999999998</v>
      </c>
      <c r="H14" s="6" t="s">
        <v>91</v>
      </c>
      <c r="I14" s="9" t="s">
        <v>92</v>
      </c>
      <c r="J14" s="11">
        <v>14.75</v>
      </c>
      <c r="K14" s="6" t="s">
        <v>93</v>
      </c>
      <c r="L14" s="6">
        <v>0</v>
      </c>
      <c r="M14" s="14" t="s">
        <v>67</v>
      </c>
      <c r="N14" s="13" t="s">
        <v>43</v>
      </c>
      <c r="O14" s="7">
        <v>21938</v>
      </c>
      <c r="P14" s="16" t="s">
        <v>94</v>
      </c>
      <c r="Q14">
        <v>1</v>
      </c>
      <c r="S14">
        <v>7</v>
      </c>
      <c r="T14">
        <v>7</v>
      </c>
      <c r="U14">
        <v>14</v>
      </c>
    </row>
    <row r="15" spans="1:21" ht="14.5" x14ac:dyDescent="0.35">
      <c r="A15" s="5" t="s">
        <v>10</v>
      </c>
      <c r="B15" s="6" t="s">
        <v>95</v>
      </c>
      <c r="C15" s="6">
        <v>243057</v>
      </c>
      <c r="D15" s="7" t="s">
        <v>20</v>
      </c>
      <c r="E15" s="9" t="s">
        <v>96</v>
      </c>
      <c r="F15" s="8">
        <v>42.535434979999998</v>
      </c>
      <c r="G15" s="8">
        <v>-69.765185192000004</v>
      </c>
      <c r="H15" s="6"/>
      <c r="I15" s="9"/>
      <c r="J15" s="7"/>
      <c r="K15" s="6"/>
      <c r="L15" s="6"/>
      <c r="M15" s="14" t="s">
        <v>97</v>
      </c>
      <c r="N15" s="7" t="s">
        <v>18</v>
      </c>
      <c r="O15" s="7">
        <v>21938</v>
      </c>
      <c r="P15" s="12" t="s">
        <v>98</v>
      </c>
    </row>
    <row r="16" spans="1:21" ht="15" thickBot="1" x14ac:dyDescent="0.4">
      <c r="A16" s="18" t="s">
        <v>10</v>
      </c>
      <c r="B16" s="19" t="s">
        <v>99</v>
      </c>
      <c r="C16" s="19">
        <v>243064</v>
      </c>
      <c r="D16" s="20" t="s">
        <v>12</v>
      </c>
      <c r="E16" s="21" t="s">
        <v>100</v>
      </c>
      <c r="F16" s="22">
        <v>42.7636939008</v>
      </c>
      <c r="G16" s="22">
        <v>-69.365686336500005</v>
      </c>
      <c r="H16" s="19" t="s">
        <v>101</v>
      </c>
      <c r="I16" s="21" t="s">
        <v>102</v>
      </c>
      <c r="J16" s="25">
        <v>0.89</v>
      </c>
      <c r="K16" s="19" t="s">
        <v>103</v>
      </c>
      <c r="L16" s="19">
        <v>0</v>
      </c>
      <c r="M16" s="19"/>
      <c r="N16" s="20" t="s">
        <v>43</v>
      </c>
      <c r="O16" s="20">
        <v>21938</v>
      </c>
      <c r="P16" s="23"/>
      <c r="Q16" s="24">
        <v>1</v>
      </c>
      <c r="R16" s="24"/>
      <c r="S16" s="24">
        <v>8</v>
      </c>
      <c r="T16" s="24">
        <v>9</v>
      </c>
      <c r="U16" s="24">
        <v>4</v>
      </c>
    </row>
    <row r="17" spans="1:21" ht="14.5" x14ac:dyDescent="0.35">
      <c r="A17" s="5" t="s">
        <v>10</v>
      </c>
      <c r="B17" s="6" t="s">
        <v>104</v>
      </c>
      <c r="C17" s="6">
        <v>243061</v>
      </c>
      <c r="D17" s="7" t="s">
        <v>12</v>
      </c>
      <c r="E17" s="9" t="s">
        <v>128</v>
      </c>
      <c r="F17" s="8">
        <v>42.222117222222202</v>
      </c>
      <c r="G17" s="8">
        <v>-70.362030555555506</v>
      </c>
      <c r="H17" s="6" t="s">
        <v>105</v>
      </c>
      <c r="I17" s="9" t="s">
        <v>106</v>
      </c>
      <c r="J17" s="7">
        <v>27.08</v>
      </c>
      <c r="K17" s="7"/>
      <c r="L17" s="7"/>
      <c r="M17" s="6"/>
      <c r="N17" s="7" t="s">
        <v>43</v>
      </c>
      <c r="O17" s="7">
        <v>21938</v>
      </c>
      <c r="P17" s="12" t="s">
        <v>107</v>
      </c>
      <c r="Q17">
        <v>1</v>
      </c>
      <c r="S17" s="26">
        <v>9</v>
      </c>
      <c r="T17" s="26">
        <v>8</v>
      </c>
      <c r="U17" s="26">
        <v>11</v>
      </c>
    </row>
    <row r="18" spans="1:21" ht="14.5" x14ac:dyDescent="0.35">
      <c r="A18" s="5" t="s">
        <v>10</v>
      </c>
      <c r="B18" s="6" t="s">
        <v>108</v>
      </c>
      <c r="C18" s="6">
        <v>243053</v>
      </c>
      <c r="D18" s="7" t="s">
        <v>20</v>
      </c>
      <c r="E18" s="9" t="s">
        <v>109</v>
      </c>
      <c r="F18" s="8">
        <v>42.474052222222198</v>
      </c>
      <c r="G18" s="8">
        <v>-70.470794166666707</v>
      </c>
      <c r="H18" s="6"/>
      <c r="I18" s="9" t="s">
        <v>130</v>
      </c>
      <c r="J18" s="7">
        <v>59.79</v>
      </c>
      <c r="K18" s="7"/>
      <c r="L18" s="7"/>
      <c r="M18" s="6"/>
      <c r="N18" s="7" t="s">
        <v>43</v>
      </c>
      <c r="O18" s="7">
        <v>27066</v>
      </c>
      <c r="P18" s="10"/>
      <c r="Q18">
        <v>1</v>
      </c>
      <c r="S18">
        <v>14</v>
      </c>
      <c r="T18">
        <v>14</v>
      </c>
      <c r="U18">
        <v>13</v>
      </c>
    </row>
    <row r="19" spans="1:21" ht="14.5" x14ac:dyDescent="0.35">
      <c r="A19" s="5" t="s">
        <v>10</v>
      </c>
      <c r="B19" s="6" t="s">
        <v>110</v>
      </c>
      <c r="C19" s="6">
        <v>243056</v>
      </c>
      <c r="D19" s="7" t="s">
        <v>12</v>
      </c>
      <c r="E19" s="9" t="s">
        <v>126</v>
      </c>
      <c r="F19" s="8">
        <v>41.744257222222203</v>
      </c>
      <c r="G19" s="8">
        <v>-69.703176388888906</v>
      </c>
      <c r="H19" s="6" t="s">
        <v>111</v>
      </c>
      <c r="I19" s="9" t="s">
        <v>129</v>
      </c>
      <c r="J19" s="7">
        <v>32.68</v>
      </c>
      <c r="K19" s="7"/>
      <c r="L19" s="7"/>
      <c r="M19" s="6"/>
      <c r="N19" s="7" t="s">
        <v>43</v>
      </c>
      <c r="O19" s="7">
        <v>27066</v>
      </c>
      <c r="P19" s="10"/>
      <c r="Q19">
        <v>6</v>
      </c>
      <c r="R19">
        <v>13</v>
      </c>
      <c r="S19">
        <v>8</v>
      </c>
      <c r="T19">
        <v>9</v>
      </c>
      <c r="U19">
        <v>12</v>
      </c>
    </row>
    <row r="20" spans="1:21" ht="14.5" x14ac:dyDescent="0.35">
      <c r="A20" s="5" t="s">
        <v>10</v>
      </c>
      <c r="B20" s="6" t="s">
        <v>112</v>
      </c>
      <c r="C20" s="6">
        <v>243060</v>
      </c>
      <c r="D20" s="7" t="s">
        <v>113</v>
      </c>
      <c r="E20" s="9" t="s">
        <v>127</v>
      </c>
      <c r="F20" s="8">
        <v>42.188938611111098</v>
      </c>
      <c r="G20" s="8">
        <v>-69.947391666666704</v>
      </c>
      <c r="H20" s="6" t="s">
        <v>114</v>
      </c>
      <c r="I20" s="9" t="s">
        <v>131</v>
      </c>
      <c r="J20" s="7">
        <v>2.5299999999999998</v>
      </c>
      <c r="K20" s="7" t="s">
        <v>115</v>
      </c>
      <c r="L20" s="7"/>
      <c r="M20" s="6"/>
      <c r="N20" s="7" t="s">
        <v>43</v>
      </c>
      <c r="O20" s="7">
        <v>27066</v>
      </c>
      <c r="P20" s="12" t="s">
        <v>116</v>
      </c>
      <c r="Q20">
        <v>6</v>
      </c>
      <c r="R20">
        <v>13</v>
      </c>
      <c r="S20">
        <v>10</v>
      </c>
      <c r="T20">
        <v>10</v>
      </c>
      <c r="U20">
        <v>11</v>
      </c>
    </row>
    <row r="21" spans="1:21" ht="14.5" x14ac:dyDescent="0.35">
      <c r="A21" s="5" t="s">
        <v>10</v>
      </c>
      <c r="B21" s="6" t="s">
        <v>117</v>
      </c>
      <c r="C21" s="6">
        <v>267425</v>
      </c>
      <c r="D21" s="7" t="s">
        <v>20</v>
      </c>
      <c r="E21" s="9" t="s">
        <v>124</v>
      </c>
      <c r="F21" s="8">
        <v>44.8782</v>
      </c>
      <c r="G21" s="8">
        <v>-66.432299999999998</v>
      </c>
      <c r="H21" s="6"/>
      <c r="I21" s="9" t="s">
        <v>132</v>
      </c>
      <c r="J21" s="7"/>
      <c r="K21" s="7"/>
      <c r="L21" s="7"/>
      <c r="M21" s="6"/>
      <c r="N21" s="7" t="s">
        <v>118</v>
      </c>
      <c r="O21" s="7" t="s">
        <v>119</v>
      </c>
      <c r="P21" s="12" t="s">
        <v>120</v>
      </c>
      <c r="Q21">
        <v>6</v>
      </c>
      <c r="R21">
        <v>11</v>
      </c>
      <c r="S21">
        <v>10</v>
      </c>
      <c r="T21">
        <v>11</v>
      </c>
      <c r="U21">
        <v>14</v>
      </c>
    </row>
    <row r="22" spans="1:21" ht="14.5" x14ac:dyDescent="0.35">
      <c r="A22" s="5" t="s">
        <v>10</v>
      </c>
      <c r="B22" s="6" t="s">
        <v>121</v>
      </c>
      <c r="C22" s="6">
        <v>267426</v>
      </c>
      <c r="D22" s="7" t="s">
        <v>20</v>
      </c>
      <c r="E22" s="9" t="s">
        <v>125</v>
      </c>
      <c r="F22" s="8">
        <v>44.853299999999997</v>
      </c>
      <c r="G22" s="8">
        <v>-66.403800000000004</v>
      </c>
      <c r="H22" s="6"/>
      <c r="I22" s="9" t="s">
        <v>133</v>
      </c>
      <c r="J22" s="7"/>
      <c r="K22" s="7"/>
      <c r="L22" s="7"/>
      <c r="M22" s="6"/>
      <c r="N22" s="7" t="s">
        <v>118</v>
      </c>
      <c r="O22" s="7" t="s">
        <v>119</v>
      </c>
      <c r="P22" s="12" t="s">
        <v>120</v>
      </c>
      <c r="Q22">
        <v>6</v>
      </c>
      <c r="R22">
        <v>11</v>
      </c>
      <c r="S22">
        <v>11</v>
      </c>
      <c r="T22">
        <v>11</v>
      </c>
      <c r="U22">
        <v>14</v>
      </c>
    </row>
    <row r="23" spans="1:21" ht="14.5" x14ac:dyDescent="0.35">
      <c r="A23" s="5" t="s">
        <v>10</v>
      </c>
      <c r="B23" s="6" t="s">
        <v>122</v>
      </c>
      <c r="C23" s="6">
        <v>243067</v>
      </c>
      <c r="D23" s="7" t="s">
        <v>12</v>
      </c>
      <c r="E23" s="9" t="s">
        <v>141</v>
      </c>
      <c r="F23" s="8">
        <v>41.999676721199997</v>
      </c>
      <c r="G23" s="8">
        <v>-69.765808805800006</v>
      </c>
      <c r="H23" s="6" t="s">
        <v>123</v>
      </c>
      <c r="I23" s="9" t="s">
        <v>134</v>
      </c>
      <c r="J23" s="7">
        <v>21.09</v>
      </c>
      <c r="K23" s="7"/>
      <c r="L23" s="7"/>
      <c r="M23" s="6"/>
      <c r="N23" s="7" t="s">
        <v>43</v>
      </c>
      <c r="O23" s="7">
        <v>27066</v>
      </c>
      <c r="P23" s="10"/>
      <c r="Q23">
        <v>6</v>
      </c>
      <c r="R23">
        <v>11</v>
      </c>
      <c r="S23">
        <v>9</v>
      </c>
      <c r="T23">
        <v>9</v>
      </c>
      <c r="U23">
        <v>14</v>
      </c>
    </row>
    <row r="24" spans="1:21" ht="13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7"/>
      <c r="K24" s="10"/>
      <c r="L24" s="10"/>
      <c r="M24" s="10"/>
      <c r="N24" s="10"/>
      <c r="O24" s="10"/>
      <c r="P24" s="10"/>
    </row>
    <row r="25" spans="1:21" ht="13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7"/>
      <c r="K25" s="10"/>
      <c r="L25" s="10"/>
      <c r="M25" s="10"/>
      <c r="N25" s="10"/>
      <c r="O25" s="10"/>
      <c r="P25" s="10"/>
    </row>
    <row r="26" spans="1:21" ht="13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7"/>
      <c r="K26" s="10"/>
      <c r="L26" s="10"/>
      <c r="M26" s="10"/>
      <c r="N26" s="10"/>
      <c r="O26" s="10"/>
      <c r="P26" s="10"/>
    </row>
    <row r="27" spans="1:21" ht="13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7"/>
      <c r="K27" s="10"/>
      <c r="L27" s="10"/>
      <c r="M27" s="10"/>
      <c r="N27" s="10"/>
      <c r="O27" s="10"/>
      <c r="P27" s="10"/>
    </row>
    <row r="28" spans="1:21" ht="13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7"/>
      <c r="K28" s="10"/>
      <c r="L28" s="10"/>
      <c r="M28" s="10"/>
      <c r="N28" s="10"/>
      <c r="O28" s="10"/>
      <c r="P28" s="10"/>
    </row>
    <row r="29" spans="1:21" ht="13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7"/>
      <c r="K29" s="10"/>
      <c r="L29" s="10"/>
      <c r="M29" s="10"/>
      <c r="N29" s="10"/>
      <c r="O29" s="10"/>
      <c r="P29" s="10"/>
    </row>
    <row r="30" spans="1:21" ht="13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7"/>
      <c r="K30" s="10"/>
      <c r="L30" s="10"/>
      <c r="M30" s="10"/>
      <c r="N30" s="10"/>
      <c r="O30" s="10"/>
      <c r="P30" s="10"/>
    </row>
    <row r="31" spans="1:21" ht="13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7"/>
      <c r="K31" s="10"/>
      <c r="L31" s="10"/>
      <c r="M31" s="10"/>
      <c r="N31" s="10"/>
      <c r="O31" s="10"/>
      <c r="P31" s="10"/>
    </row>
    <row r="32" spans="1:21" ht="13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7"/>
      <c r="K32" s="10"/>
      <c r="L32" s="10"/>
      <c r="M32" s="10"/>
      <c r="N32" s="10"/>
      <c r="O32" s="10"/>
      <c r="P32" s="10"/>
    </row>
    <row r="33" spans="1:16" ht="13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7"/>
      <c r="K33" s="10"/>
      <c r="L33" s="10"/>
      <c r="M33" s="10"/>
      <c r="N33" s="10"/>
      <c r="O33" s="10"/>
      <c r="P33" s="10"/>
    </row>
    <row r="34" spans="1:16" ht="13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7"/>
      <c r="K34" s="10"/>
      <c r="L34" s="10"/>
      <c r="M34" s="10"/>
      <c r="N34" s="10"/>
      <c r="O34" s="10"/>
      <c r="P34" s="10"/>
    </row>
    <row r="35" spans="1:16" ht="13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7"/>
      <c r="K35" s="10"/>
      <c r="L35" s="10"/>
      <c r="M35" s="10"/>
      <c r="N35" s="10"/>
      <c r="O35" s="10"/>
      <c r="P35" s="10"/>
    </row>
    <row r="36" spans="1:16" ht="13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7"/>
      <c r="K36" s="10"/>
      <c r="L36" s="10"/>
      <c r="M36" s="10"/>
      <c r="N36" s="10"/>
      <c r="O36" s="10"/>
      <c r="P36" s="10"/>
    </row>
    <row r="37" spans="1:16" ht="13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1:16" ht="13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7"/>
      <c r="K38" s="10"/>
      <c r="L38" s="10"/>
      <c r="M38" s="10"/>
      <c r="N38" s="10"/>
      <c r="O38" s="10"/>
      <c r="P38" s="10"/>
    </row>
    <row r="39" spans="1:16" ht="13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7"/>
      <c r="K39" s="10"/>
      <c r="L39" s="10"/>
      <c r="M39" s="10"/>
      <c r="N39" s="10"/>
      <c r="O39" s="10"/>
      <c r="P39" s="10"/>
    </row>
    <row r="40" spans="1:16" ht="13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7"/>
      <c r="K40" s="10"/>
      <c r="L40" s="10"/>
      <c r="M40" s="10"/>
      <c r="N40" s="10"/>
      <c r="O40" s="10"/>
      <c r="P40" s="10"/>
    </row>
    <row r="41" spans="1:16" ht="13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7"/>
      <c r="K41" s="10"/>
      <c r="L41" s="10"/>
      <c r="M41" s="10"/>
      <c r="N41" s="10"/>
      <c r="O41" s="10"/>
      <c r="P41" s="10"/>
    </row>
    <row r="42" spans="1:16" ht="13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7"/>
      <c r="K42" s="10"/>
      <c r="L42" s="10"/>
      <c r="M42" s="10"/>
      <c r="N42" s="10"/>
      <c r="O42" s="10"/>
      <c r="P42" s="10"/>
    </row>
    <row r="43" spans="1:16" ht="13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7"/>
      <c r="K43" s="10"/>
      <c r="L43" s="10"/>
      <c r="M43" s="10"/>
      <c r="N43" s="10"/>
      <c r="O43" s="10"/>
      <c r="P43" s="10"/>
    </row>
    <row r="44" spans="1:16" ht="13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7"/>
      <c r="K44" s="10"/>
      <c r="L44" s="10"/>
      <c r="M44" s="10"/>
      <c r="N44" s="10"/>
      <c r="O44" s="10"/>
      <c r="P44" s="10"/>
    </row>
    <row r="45" spans="1:16" ht="13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7"/>
      <c r="K45" s="10"/>
      <c r="L45" s="10"/>
      <c r="M45" s="10"/>
      <c r="N45" s="10"/>
      <c r="O45" s="10"/>
      <c r="P45" s="10"/>
    </row>
    <row r="46" spans="1:16" ht="13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7"/>
      <c r="K46" s="10"/>
      <c r="L46" s="10"/>
      <c r="M46" s="10"/>
      <c r="N46" s="10"/>
      <c r="O46" s="10"/>
      <c r="P46" s="10"/>
    </row>
    <row r="47" spans="1:16" ht="13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7"/>
      <c r="K47" s="10"/>
      <c r="L47" s="10"/>
      <c r="M47" s="10"/>
      <c r="N47" s="10"/>
      <c r="O47" s="10"/>
      <c r="P47" s="10"/>
    </row>
    <row r="48" spans="1:16" ht="13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7"/>
      <c r="K48" s="10"/>
      <c r="L48" s="10"/>
      <c r="M48" s="10"/>
      <c r="N48" s="10"/>
      <c r="O48" s="10"/>
      <c r="P48" s="10"/>
    </row>
    <row r="49" spans="1:16" ht="13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7"/>
      <c r="K49" s="10"/>
      <c r="L49" s="10"/>
      <c r="M49" s="10"/>
      <c r="N49" s="10"/>
      <c r="O49" s="10"/>
      <c r="P49" s="10"/>
    </row>
    <row r="50" spans="1:16" ht="13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7"/>
      <c r="K50" s="10"/>
      <c r="L50" s="10"/>
      <c r="M50" s="10"/>
      <c r="N50" s="10"/>
      <c r="O50" s="10"/>
      <c r="P50" s="10"/>
    </row>
    <row r="51" spans="1:16" ht="12.5" x14ac:dyDescent="0.25">
      <c r="J51" s="1"/>
    </row>
    <row r="52" spans="1:16" ht="12.5" x14ac:dyDescent="0.25">
      <c r="J52" s="1"/>
    </row>
    <row r="53" spans="1:16" ht="12.5" x14ac:dyDescent="0.25">
      <c r="J53" s="1"/>
    </row>
    <row r="54" spans="1:16" ht="12.5" x14ac:dyDescent="0.25">
      <c r="J54" s="1"/>
    </row>
    <row r="55" spans="1:16" ht="12.5" x14ac:dyDescent="0.25">
      <c r="J55" s="1"/>
    </row>
    <row r="56" spans="1:16" ht="12.5" x14ac:dyDescent="0.25">
      <c r="J56" s="1"/>
    </row>
    <row r="57" spans="1:16" ht="12.5" x14ac:dyDescent="0.25">
      <c r="J57" s="1"/>
    </row>
    <row r="58" spans="1:16" ht="12.5" x14ac:dyDescent="0.25">
      <c r="J58" s="1"/>
    </row>
    <row r="59" spans="1:16" ht="12.5" x14ac:dyDescent="0.25">
      <c r="J59" s="1"/>
    </row>
    <row r="60" spans="1:16" ht="12.5" x14ac:dyDescent="0.25">
      <c r="J60" s="1"/>
    </row>
    <row r="61" spans="1:16" ht="12.5" x14ac:dyDescent="0.25">
      <c r="J61" s="1"/>
    </row>
    <row r="62" spans="1:16" ht="12.5" x14ac:dyDescent="0.25">
      <c r="J62" s="1"/>
    </row>
    <row r="63" spans="1:16" ht="12.5" x14ac:dyDescent="0.25">
      <c r="J63" s="1"/>
    </row>
    <row r="64" spans="1:16" ht="12.5" x14ac:dyDescent="0.25">
      <c r="J64" s="1"/>
    </row>
    <row r="65" spans="10:10" ht="12.5" x14ac:dyDescent="0.25">
      <c r="J65" s="1"/>
    </row>
    <row r="66" spans="10:10" ht="12.5" x14ac:dyDescent="0.25">
      <c r="J66" s="1"/>
    </row>
    <row r="67" spans="10:10" ht="12.5" x14ac:dyDescent="0.25">
      <c r="J67" s="1"/>
    </row>
    <row r="68" spans="10:10" ht="12.5" x14ac:dyDescent="0.25">
      <c r="J68" s="1"/>
    </row>
    <row r="69" spans="10:10" ht="12.5" x14ac:dyDescent="0.25">
      <c r="J69" s="1"/>
    </row>
    <row r="70" spans="10:10" ht="12.5" x14ac:dyDescent="0.25">
      <c r="J70" s="1"/>
    </row>
    <row r="71" spans="10:10" ht="12.5" x14ac:dyDescent="0.25">
      <c r="J71" s="1"/>
    </row>
    <row r="72" spans="10:10" ht="12.5" x14ac:dyDescent="0.25">
      <c r="J72" s="1"/>
    </row>
    <row r="73" spans="10:10" ht="12.5" x14ac:dyDescent="0.25">
      <c r="J73" s="1"/>
    </row>
    <row r="74" spans="10:10" ht="12.5" x14ac:dyDescent="0.25">
      <c r="J74" s="1"/>
    </row>
    <row r="75" spans="10:10" ht="12.5" x14ac:dyDescent="0.25">
      <c r="J75" s="1"/>
    </row>
    <row r="76" spans="10:10" ht="12.5" x14ac:dyDescent="0.25">
      <c r="J76" s="1"/>
    </row>
    <row r="77" spans="10:10" ht="12.5" x14ac:dyDescent="0.25">
      <c r="J77" s="1"/>
    </row>
    <row r="78" spans="10:10" ht="12.5" x14ac:dyDescent="0.25">
      <c r="J78" s="1"/>
    </row>
    <row r="79" spans="10:10" ht="12.5" x14ac:dyDescent="0.25">
      <c r="J79" s="1"/>
    </row>
    <row r="80" spans="10:10" ht="12.5" x14ac:dyDescent="0.25">
      <c r="J80" s="1"/>
    </row>
    <row r="81" spans="10:10" ht="12.5" x14ac:dyDescent="0.25">
      <c r="J81" s="1"/>
    </row>
    <row r="82" spans="10:10" ht="12.5" x14ac:dyDescent="0.25">
      <c r="J82" s="1"/>
    </row>
    <row r="83" spans="10:10" ht="12.5" x14ac:dyDescent="0.25">
      <c r="J83" s="1"/>
    </row>
    <row r="84" spans="10:10" ht="12.5" x14ac:dyDescent="0.25">
      <c r="J84" s="1"/>
    </row>
    <row r="85" spans="10:10" ht="12.5" x14ac:dyDescent="0.25">
      <c r="J85" s="1"/>
    </row>
    <row r="86" spans="10:10" ht="12.5" x14ac:dyDescent="0.25">
      <c r="J86" s="1"/>
    </row>
    <row r="87" spans="10:10" ht="12.5" x14ac:dyDescent="0.25">
      <c r="J87" s="1"/>
    </row>
    <row r="88" spans="10:10" ht="12.5" x14ac:dyDescent="0.25">
      <c r="J88" s="1"/>
    </row>
    <row r="89" spans="10:10" ht="12.5" x14ac:dyDescent="0.25">
      <c r="J89" s="1"/>
    </row>
    <row r="90" spans="10:10" ht="12.5" x14ac:dyDescent="0.25">
      <c r="J90" s="1"/>
    </row>
    <row r="91" spans="10:10" ht="12.5" x14ac:dyDescent="0.25">
      <c r="J91" s="1"/>
    </row>
    <row r="92" spans="10:10" ht="12.5" x14ac:dyDescent="0.25">
      <c r="J92" s="1"/>
    </row>
    <row r="93" spans="10:10" ht="12.5" x14ac:dyDescent="0.25">
      <c r="J93" s="1"/>
    </row>
    <row r="94" spans="10:10" ht="12.5" x14ac:dyDescent="0.25">
      <c r="J94" s="1"/>
    </row>
    <row r="95" spans="10:10" ht="12.5" x14ac:dyDescent="0.25">
      <c r="J95" s="1"/>
    </row>
    <row r="96" spans="10:10" ht="12.5" x14ac:dyDescent="0.25">
      <c r="J96" s="1"/>
    </row>
    <row r="97" spans="10:10" ht="12.5" x14ac:dyDescent="0.25">
      <c r="J97" s="1"/>
    </row>
    <row r="98" spans="10:10" ht="12.5" x14ac:dyDescent="0.25">
      <c r="J98" s="1"/>
    </row>
    <row r="99" spans="10:10" ht="12.5" x14ac:dyDescent="0.25">
      <c r="J99" s="1"/>
    </row>
    <row r="100" spans="10:10" ht="12.5" x14ac:dyDescent="0.25">
      <c r="J100" s="1"/>
    </row>
    <row r="101" spans="10:10" ht="12.5" x14ac:dyDescent="0.25">
      <c r="J101" s="1"/>
    </row>
    <row r="102" spans="10:10" ht="12.5" x14ac:dyDescent="0.25">
      <c r="J102" s="1"/>
    </row>
    <row r="103" spans="10:10" ht="12.5" x14ac:dyDescent="0.25">
      <c r="J103" s="1"/>
    </row>
    <row r="104" spans="10:10" ht="12.5" x14ac:dyDescent="0.25">
      <c r="J104" s="1"/>
    </row>
    <row r="105" spans="10:10" ht="12.5" x14ac:dyDescent="0.25">
      <c r="J105" s="1"/>
    </row>
    <row r="106" spans="10:10" ht="12.5" x14ac:dyDescent="0.25">
      <c r="J106" s="1"/>
    </row>
    <row r="107" spans="10:10" ht="12.5" x14ac:dyDescent="0.25">
      <c r="J107" s="1"/>
    </row>
    <row r="108" spans="10:10" ht="12.5" x14ac:dyDescent="0.25">
      <c r="J108" s="1"/>
    </row>
    <row r="109" spans="10:10" ht="12.5" x14ac:dyDescent="0.25">
      <c r="J109" s="1"/>
    </row>
    <row r="110" spans="10:10" ht="12.5" x14ac:dyDescent="0.25">
      <c r="J110" s="1"/>
    </row>
    <row r="111" spans="10:10" ht="12.5" x14ac:dyDescent="0.25">
      <c r="J111" s="1"/>
    </row>
    <row r="112" spans="10:10" ht="12.5" x14ac:dyDescent="0.25">
      <c r="J112" s="1"/>
    </row>
    <row r="113" spans="10:10" ht="12.5" x14ac:dyDescent="0.25">
      <c r="J113" s="1"/>
    </row>
    <row r="114" spans="10:10" ht="12.5" x14ac:dyDescent="0.25">
      <c r="J114" s="1"/>
    </row>
    <row r="115" spans="10:10" ht="12.5" x14ac:dyDescent="0.25">
      <c r="J115" s="1"/>
    </row>
    <row r="116" spans="10:10" ht="12.5" x14ac:dyDescent="0.25">
      <c r="J116" s="1"/>
    </row>
    <row r="117" spans="10:10" ht="12.5" x14ac:dyDescent="0.25">
      <c r="J117" s="1"/>
    </row>
    <row r="118" spans="10:10" ht="12.5" x14ac:dyDescent="0.25">
      <c r="J118" s="1"/>
    </row>
    <row r="119" spans="10:10" ht="12.5" x14ac:dyDescent="0.25">
      <c r="J119" s="1"/>
    </row>
    <row r="120" spans="10:10" ht="12.5" x14ac:dyDescent="0.25">
      <c r="J120" s="1"/>
    </row>
    <row r="121" spans="10:10" ht="12.5" x14ac:dyDescent="0.25">
      <c r="J121" s="1"/>
    </row>
    <row r="122" spans="10:10" ht="12.5" x14ac:dyDescent="0.25">
      <c r="J122" s="1"/>
    </row>
    <row r="123" spans="10:10" ht="12.5" x14ac:dyDescent="0.25">
      <c r="J123" s="1"/>
    </row>
    <row r="124" spans="10:10" ht="12.5" x14ac:dyDescent="0.25">
      <c r="J124" s="1"/>
    </row>
    <row r="125" spans="10:10" ht="12.5" x14ac:dyDescent="0.25">
      <c r="J125" s="1"/>
    </row>
    <row r="126" spans="10:10" ht="12.5" x14ac:dyDescent="0.25">
      <c r="J126" s="1"/>
    </row>
    <row r="127" spans="10:10" ht="12.5" x14ac:dyDescent="0.25">
      <c r="J127" s="1"/>
    </row>
    <row r="128" spans="10:10" ht="12.5" x14ac:dyDescent="0.25">
      <c r="J128" s="1"/>
    </row>
    <row r="129" spans="10:10" ht="12.5" x14ac:dyDescent="0.25">
      <c r="J129" s="1"/>
    </row>
    <row r="130" spans="10:10" ht="12.5" x14ac:dyDescent="0.25">
      <c r="J130" s="1"/>
    </row>
    <row r="131" spans="10:10" ht="12.5" x14ac:dyDescent="0.25">
      <c r="J131" s="1"/>
    </row>
    <row r="132" spans="10:10" ht="12.5" x14ac:dyDescent="0.25">
      <c r="J132" s="1"/>
    </row>
    <row r="133" spans="10:10" ht="12.5" x14ac:dyDescent="0.25">
      <c r="J133" s="1"/>
    </row>
    <row r="134" spans="10:10" ht="12.5" x14ac:dyDescent="0.25">
      <c r="J134" s="1"/>
    </row>
    <row r="135" spans="10:10" ht="12.5" x14ac:dyDescent="0.25">
      <c r="J135" s="1"/>
    </row>
    <row r="136" spans="10:10" ht="12.5" x14ac:dyDescent="0.25">
      <c r="J136" s="1"/>
    </row>
    <row r="137" spans="10:10" ht="12.5" x14ac:dyDescent="0.25">
      <c r="J137" s="1"/>
    </row>
    <row r="138" spans="10:10" ht="12.5" x14ac:dyDescent="0.25">
      <c r="J138" s="1"/>
    </row>
    <row r="139" spans="10:10" ht="12.5" x14ac:dyDescent="0.25">
      <c r="J139" s="1"/>
    </row>
    <row r="140" spans="10:10" ht="12.5" x14ac:dyDescent="0.25">
      <c r="J140" s="1"/>
    </row>
    <row r="141" spans="10:10" ht="12.5" x14ac:dyDescent="0.25">
      <c r="J141" s="1"/>
    </row>
    <row r="142" spans="10:10" ht="12.5" x14ac:dyDescent="0.25">
      <c r="J142" s="1"/>
    </row>
    <row r="143" spans="10:10" ht="12.5" x14ac:dyDescent="0.25">
      <c r="J143" s="1"/>
    </row>
    <row r="144" spans="10:10" ht="12.5" x14ac:dyDescent="0.25">
      <c r="J144" s="1"/>
    </row>
    <row r="145" spans="10:10" ht="12.5" x14ac:dyDescent="0.25">
      <c r="J145" s="1"/>
    </row>
    <row r="146" spans="10:10" ht="12.5" x14ac:dyDescent="0.25">
      <c r="J146" s="1"/>
    </row>
    <row r="147" spans="10:10" ht="12.5" x14ac:dyDescent="0.25">
      <c r="J147" s="1"/>
    </row>
    <row r="148" spans="10:10" ht="12.5" x14ac:dyDescent="0.25">
      <c r="J148" s="1"/>
    </row>
    <row r="149" spans="10:10" ht="12.5" x14ac:dyDescent="0.25">
      <c r="J149" s="1"/>
    </row>
    <row r="150" spans="10:10" ht="12.5" x14ac:dyDescent="0.25">
      <c r="J150" s="1"/>
    </row>
    <row r="151" spans="10:10" ht="12.5" x14ac:dyDescent="0.25">
      <c r="J151" s="1"/>
    </row>
    <row r="152" spans="10:10" ht="12.5" x14ac:dyDescent="0.25">
      <c r="J152" s="1"/>
    </row>
    <row r="153" spans="10:10" ht="12.5" x14ac:dyDescent="0.25">
      <c r="J153" s="1"/>
    </row>
    <row r="154" spans="10:10" ht="12.5" x14ac:dyDescent="0.25">
      <c r="J154" s="1"/>
    </row>
    <row r="155" spans="10:10" ht="12.5" x14ac:dyDescent="0.25">
      <c r="J155" s="1"/>
    </row>
    <row r="156" spans="10:10" ht="12.5" x14ac:dyDescent="0.25">
      <c r="J156" s="1"/>
    </row>
    <row r="157" spans="10:10" ht="12.5" x14ac:dyDescent="0.25">
      <c r="J157" s="1"/>
    </row>
    <row r="158" spans="10:10" ht="12.5" x14ac:dyDescent="0.25">
      <c r="J158" s="1"/>
    </row>
    <row r="159" spans="10:10" ht="12.5" x14ac:dyDescent="0.25">
      <c r="J159" s="1"/>
    </row>
    <row r="160" spans="10:10" ht="12.5" x14ac:dyDescent="0.25">
      <c r="J160" s="1"/>
    </row>
    <row r="161" spans="10:10" ht="12.5" x14ac:dyDescent="0.25">
      <c r="J161" s="1"/>
    </row>
    <row r="162" spans="10:10" ht="12.5" x14ac:dyDescent="0.25">
      <c r="J162" s="1"/>
    </row>
    <row r="163" spans="10:10" ht="12.5" x14ac:dyDescent="0.25">
      <c r="J163" s="1"/>
    </row>
    <row r="164" spans="10:10" ht="12.5" x14ac:dyDescent="0.25">
      <c r="J164" s="1"/>
    </row>
    <row r="165" spans="10:10" ht="12.5" x14ac:dyDescent="0.25">
      <c r="J165" s="1"/>
    </row>
    <row r="166" spans="10:10" ht="12.5" x14ac:dyDescent="0.25">
      <c r="J166" s="1"/>
    </row>
    <row r="167" spans="10:10" ht="12.5" x14ac:dyDescent="0.25">
      <c r="J167" s="1"/>
    </row>
    <row r="168" spans="10:10" ht="12.5" x14ac:dyDescent="0.25">
      <c r="J168" s="1"/>
    </row>
    <row r="169" spans="10:10" ht="12.5" x14ac:dyDescent="0.25">
      <c r="J169" s="1"/>
    </row>
    <row r="170" spans="10:10" ht="12.5" x14ac:dyDescent="0.25">
      <c r="J170" s="1"/>
    </row>
    <row r="171" spans="10:10" ht="12.5" x14ac:dyDescent="0.25">
      <c r="J171" s="1"/>
    </row>
    <row r="172" spans="10:10" ht="12.5" x14ac:dyDescent="0.25">
      <c r="J172" s="1"/>
    </row>
    <row r="173" spans="10:10" ht="12.5" x14ac:dyDescent="0.25">
      <c r="J173" s="1"/>
    </row>
    <row r="174" spans="10:10" ht="12.5" x14ac:dyDescent="0.25">
      <c r="J174" s="1"/>
    </row>
    <row r="175" spans="10:10" ht="12.5" x14ac:dyDescent="0.25">
      <c r="J175" s="1"/>
    </row>
    <row r="176" spans="10:10" ht="12.5" x14ac:dyDescent="0.25">
      <c r="J176" s="1"/>
    </row>
    <row r="177" spans="10:10" ht="12.5" x14ac:dyDescent="0.25">
      <c r="J177" s="1"/>
    </row>
    <row r="178" spans="10:10" ht="12.5" x14ac:dyDescent="0.25">
      <c r="J178" s="1"/>
    </row>
    <row r="179" spans="10:10" ht="12.5" x14ac:dyDescent="0.25">
      <c r="J179" s="1"/>
    </row>
    <row r="180" spans="10:10" ht="12.5" x14ac:dyDescent="0.25">
      <c r="J180" s="1"/>
    </row>
    <row r="181" spans="10:10" ht="12.5" x14ac:dyDescent="0.25">
      <c r="J181" s="1"/>
    </row>
    <row r="182" spans="10:10" ht="12.5" x14ac:dyDescent="0.25">
      <c r="J182" s="1"/>
    </row>
    <row r="183" spans="10:10" ht="12.5" x14ac:dyDescent="0.25">
      <c r="J183" s="1"/>
    </row>
    <row r="184" spans="10:10" ht="12.5" x14ac:dyDescent="0.25">
      <c r="J184" s="1"/>
    </row>
    <row r="185" spans="10:10" ht="12.5" x14ac:dyDescent="0.25">
      <c r="J185" s="1"/>
    </row>
    <row r="186" spans="10:10" ht="12.5" x14ac:dyDescent="0.25">
      <c r="J186" s="1"/>
    </row>
    <row r="187" spans="10:10" ht="12.5" x14ac:dyDescent="0.25">
      <c r="J187" s="1"/>
    </row>
    <row r="188" spans="10:10" ht="12.5" x14ac:dyDescent="0.25">
      <c r="J188" s="1"/>
    </row>
    <row r="189" spans="10:10" ht="12.5" x14ac:dyDescent="0.25">
      <c r="J189" s="1"/>
    </row>
    <row r="190" spans="10:10" ht="12.5" x14ac:dyDescent="0.25">
      <c r="J190" s="1"/>
    </row>
    <row r="191" spans="10:10" ht="12.5" x14ac:dyDescent="0.25">
      <c r="J191" s="1"/>
    </row>
    <row r="192" spans="10:10" ht="12.5" x14ac:dyDescent="0.25">
      <c r="J192" s="1"/>
    </row>
    <row r="193" spans="10:10" ht="12.5" x14ac:dyDescent="0.25">
      <c r="J193" s="1"/>
    </row>
    <row r="194" spans="10:10" ht="12.5" x14ac:dyDescent="0.25">
      <c r="J194" s="1"/>
    </row>
    <row r="195" spans="10:10" ht="12.5" x14ac:dyDescent="0.25">
      <c r="J195" s="1"/>
    </row>
    <row r="196" spans="10:10" ht="12.5" x14ac:dyDescent="0.25">
      <c r="J196" s="1"/>
    </row>
    <row r="197" spans="10:10" ht="12.5" x14ac:dyDescent="0.25">
      <c r="J197" s="1"/>
    </row>
    <row r="198" spans="10:10" ht="12.5" x14ac:dyDescent="0.25">
      <c r="J198" s="1"/>
    </row>
    <row r="199" spans="10:10" ht="12.5" x14ac:dyDescent="0.25">
      <c r="J199" s="1"/>
    </row>
    <row r="200" spans="10:10" ht="12.5" x14ac:dyDescent="0.25">
      <c r="J200" s="1"/>
    </row>
    <row r="201" spans="10:10" ht="12.5" x14ac:dyDescent="0.25">
      <c r="J201" s="1"/>
    </row>
    <row r="202" spans="10:10" ht="12.5" x14ac:dyDescent="0.25">
      <c r="J202" s="1"/>
    </row>
    <row r="203" spans="10:10" ht="12.5" x14ac:dyDescent="0.25">
      <c r="J203" s="1"/>
    </row>
    <row r="204" spans="10:10" ht="12.5" x14ac:dyDescent="0.25">
      <c r="J204" s="1"/>
    </row>
    <row r="205" spans="10:10" ht="12.5" x14ac:dyDescent="0.25">
      <c r="J205" s="1"/>
    </row>
    <row r="206" spans="10:10" ht="12.5" x14ac:dyDescent="0.25">
      <c r="J206" s="1"/>
    </row>
    <row r="207" spans="10:10" ht="12.5" x14ac:dyDescent="0.25">
      <c r="J207" s="1"/>
    </row>
    <row r="208" spans="10:10" ht="12.5" x14ac:dyDescent="0.25">
      <c r="J208" s="1"/>
    </row>
    <row r="209" spans="10:10" ht="12.5" x14ac:dyDescent="0.25">
      <c r="J209" s="1"/>
    </row>
    <row r="210" spans="10:10" ht="12.5" x14ac:dyDescent="0.25">
      <c r="J210" s="1"/>
    </row>
    <row r="211" spans="10:10" ht="12.5" x14ac:dyDescent="0.25">
      <c r="J211" s="1"/>
    </row>
    <row r="212" spans="10:10" ht="12.5" x14ac:dyDescent="0.25">
      <c r="J212" s="1"/>
    </row>
    <row r="213" spans="10:10" ht="12.5" x14ac:dyDescent="0.25">
      <c r="J213" s="1"/>
    </row>
    <row r="214" spans="10:10" ht="12.5" x14ac:dyDescent="0.25">
      <c r="J214" s="1"/>
    </row>
    <row r="215" spans="10:10" ht="12.5" x14ac:dyDescent="0.25">
      <c r="J215" s="1"/>
    </row>
    <row r="216" spans="10:10" ht="12.5" x14ac:dyDescent="0.25">
      <c r="J216" s="1"/>
    </row>
    <row r="217" spans="10:10" ht="12.5" x14ac:dyDescent="0.25">
      <c r="J217" s="1"/>
    </row>
    <row r="218" spans="10:10" ht="12.5" x14ac:dyDescent="0.25">
      <c r="J218" s="1"/>
    </row>
    <row r="219" spans="10:10" ht="12.5" x14ac:dyDescent="0.25">
      <c r="J219" s="1"/>
    </row>
    <row r="220" spans="10:10" ht="12.5" x14ac:dyDescent="0.25">
      <c r="J220" s="1"/>
    </row>
    <row r="221" spans="10:10" ht="12.5" x14ac:dyDescent="0.25">
      <c r="J221" s="1"/>
    </row>
    <row r="222" spans="10:10" ht="12.5" x14ac:dyDescent="0.25">
      <c r="J222" s="1"/>
    </row>
    <row r="223" spans="10:10" ht="12.5" x14ac:dyDescent="0.25">
      <c r="J223" s="1"/>
    </row>
    <row r="224" spans="10:10" ht="12.5" x14ac:dyDescent="0.25">
      <c r="J224" s="1"/>
    </row>
    <row r="225" spans="10:10" ht="12.5" x14ac:dyDescent="0.25">
      <c r="J225" s="1"/>
    </row>
    <row r="226" spans="10:10" ht="12.5" x14ac:dyDescent="0.25">
      <c r="J226" s="1"/>
    </row>
    <row r="227" spans="10:10" ht="12.5" x14ac:dyDescent="0.25">
      <c r="J227" s="1"/>
    </row>
    <row r="228" spans="10:10" ht="12.5" x14ac:dyDescent="0.25">
      <c r="J228" s="1"/>
    </row>
    <row r="229" spans="10:10" ht="12.5" x14ac:dyDescent="0.25">
      <c r="J229" s="1"/>
    </row>
    <row r="230" spans="10:10" ht="12.5" x14ac:dyDescent="0.25">
      <c r="J230" s="1"/>
    </row>
    <row r="231" spans="10:10" ht="12.5" x14ac:dyDescent="0.25">
      <c r="J231" s="1"/>
    </row>
    <row r="232" spans="10:10" ht="12.5" x14ac:dyDescent="0.25">
      <c r="J232" s="1"/>
    </row>
    <row r="233" spans="10:10" ht="12.5" x14ac:dyDescent="0.25">
      <c r="J233" s="1"/>
    </row>
    <row r="234" spans="10:10" ht="12.5" x14ac:dyDescent="0.25">
      <c r="J234" s="1"/>
    </row>
    <row r="235" spans="10:10" ht="12.5" x14ac:dyDescent="0.25">
      <c r="J235" s="1"/>
    </row>
    <row r="236" spans="10:10" ht="12.5" x14ac:dyDescent="0.25">
      <c r="J236" s="1"/>
    </row>
    <row r="237" spans="10:10" ht="12.5" x14ac:dyDescent="0.25">
      <c r="J237" s="1"/>
    </row>
    <row r="238" spans="10:10" ht="12.5" x14ac:dyDescent="0.25">
      <c r="J238" s="1"/>
    </row>
    <row r="239" spans="10:10" ht="12.5" x14ac:dyDescent="0.25">
      <c r="J239" s="1"/>
    </row>
    <row r="240" spans="10:10" ht="12.5" x14ac:dyDescent="0.25">
      <c r="J240" s="1"/>
    </row>
    <row r="241" spans="10:10" ht="12.5" x14ac:dyDescent="0.25">
      <c r="J241" s="1"/>
    </row>
    <row r="242" spans="10:10" ht="12.5" x14ac:dyDescent="0.25">
      <c r="J242" s="1"/>
    </row>
    <row r="243" spans="10:10" ht="12.5" x14ac:dyDescent="0.25">
      <c r="J243" s="1"/>
    </row>
    <row r="244" spans="10:10" ht="12.5" x14ac:dyDescent="0.25">
      <c r="J244" s="1"/>
    </row>
    <row r="245" spans="10:10" ht="12.5" x14ac:dyDescent="0.25">
      <c r="J245" s="1"/>
    </row>
    <row r="246" spans="10:10" ht="12.5" x14ac:dyDescent="0.25">
      <c r="J246" s="1"/>
    </row>
    <row r="247" spans="10:10" ht="12.5" x14ac:dyDescent="0.25">
      <c r="J247" s="1"/>
    </row>
    <row r="248" spans="10:10" ht="12.5" x14ac:dyDescent="0.25">
      <c r="J248" s="1"/>
    </row>
    <row r="249" spans="10:10" ht="12.5" x14ac:dyDescent="0.25">
      <c r="J249" s="1"/>
    </row>
    <row r="250" spans="10:10" ht="12.5" x14ac:dyDescent="0.25">
      <c r="J250" s="1"/>
    </row>
    <row r="251" spans="10:10" ht="12.5" x14ac:dyDescent="0.25">
      <c r="J251" s="1"/>
    </row>
    <row r="252" spans="10:10" ht="12.5" x14ac:dyDescent="0.25">
      <c r="J252" s="1"/>
    </row>
    <row r="253" spans="10:10" ht="12.5" x14ac:dyDescent="0.25">
      <c r="J253" s="1"/>
    </row>
    <row r="254" spans="10:10" ht="12.5" x14ac:dyDescent="0.25">
      <c r="J254" s="1"/>
    </row>
    <row r="255" spans="10:10" ht="12.5" x14ac:dyDescent="0.25">
      <c r="J255" s="1"/>
    </row>
    <row r="256" spans="10:10" ht="12.5" x14ac:dyDescent="0.25">
      <c r="J256" s="1"/>
    </row>
    <row r="257" spans="10:10" ht="12.5" x14ac:dyDescent="0.25">
      <c r="J257" s="1"/>
    </row>
    <row r="258" spans="10:10" ht="12.5" x14ac:dyDescent="0.25">
      <c r="J258" s="1"/>
    </row>
    <row r="259" spans="10:10" ht="12.5" x14ac:dyDescent="0.25">
      <c r="J259" s="1"/>
    </row>
    <row r="260" spans="10:10" ht="12.5" x14ac:dyDescent="0.25">
      <c r="J260" s="1"/>
    </row>
    <row r="261" spans="10:10" ht="12.5" x14ac:dyDescent="0.25">
      <c r="J261" s="1"/>
    </row>
    <row r="262" spans="10:10" ht="12.5" x14ac:dyDescent="0.25">
      <c r="J262" s="1"/>
    </row>
    <row r="263" spans="10:10" ht="12.5" x14ac:dyDescent="0.25">
      <c r="J263" s="1"/>
    </row>
    <row r="264" spans="10:10" ht="12.5" x14ac:dyDescent="0.25">
      <c r="J264" s="1"/>
    </row>
    <row r="265" spans="10:10" ht="12.5" x14ac:dyDescent="0.25">
      <c r="J265" s="1"/>
    </row>
    <row r="266" spans="10:10" ht="12.5" x14ac:dyDescent="0.25">
      <c r="J266" s="1"/>
    </row>
    <row r="267" spans="10:10" ht="12.5" x14ac:dyDescent="0.25">
      <c r="J267" s="1"/>
    </row>
    <row r="268" spans="10:10" ht="12.5" x14ac:dyDescent="0.25">
      <c r="J268" s="1"/>
    </row>
    <row r="269" spans="10:10" ht="12.5" x14ac:dyDescent="0.25">
      <c r="J269" s="1"/>
    </row>
    <row r="270" spans="10:10" ht="12.5" x14ac:dyDescent="0.25">
      <c r="J270" s="1"/>
    </row>
    <row r="271" spans="10:10" ht="12.5" x14ac:dyDescent="0.25">
      <c r="J271" s="1"/>
    </row>
    <row r="272" spans="10:10" ht="12.5" x14ac:dyDescent="0.25">
      <c r="J272" s="1"/>
    </row>
    <row r="273" spans="10:10" ht="12.5" x14ac:dyDescent="0.25">
      <c r="J273" s="1"/>
    </row>
    <row r="274" spans="10:10" ht="12.5" x14ac:dyDescent="0.25">
      <c r="J274" s="1"/>
    </row>
    <row r="275" spans="10:10" ht="12.5" x14ac:dyDescent="0.25">
      <c r="J275" s="1"/>
    </row>
    <row r="276" spans="10:10" ht="12.5" x14ac:dyDescent="0.25">
      <c r="J276" s="1"/>
    </row>
    <row r="277" spans="10:10" ht="12.5" x14ac:dyDescent="0.25">
      <c r="J277" s="1"/>
    </row>
    <row r="278" spans="10:10" ht="12.5" x14ac:dyDescent="0.25">
      <c r="J278" s="1"/>
    </row>
    <row r="279" spans="10:10" ht="12.5" x14ac:dyDescent="0.25">
      <c r="J279" s="1"/>
    </row>
    <row r="280" spans="10:10" ht="12.5" x14ac:dyDescent="0.25">
      <c r="J280" s="1"/>
    </row>
    <row r="281" spans="10:10" ht="12.5" x14ac:dyDescent="0.25">
      <c r="J281" s="1"/>
    </row>
    <row r="282" spans="10:10" ht="12.5" x14ac:dyDescent="0.25">
      <c r="J282" s="1"/>
    </row>
    <row r="283" spans="10:10" ht="12.5" x14ac:dyDescent="0.25">
      <c r="J283" s="1"/>
    </row>
    <row r="284" spans="10:10" ht="12.5" x14ac:dyDescent="0.25">
      <c r="J284" s="1"/>
    </row>
    <row r="285" spans="10:10" ht="12.5" x14ac:dyDescent="0.25">
      <c r="J285" s="1"/>
    </row>
    <row r="286" spans="10:10" ht="12.5" x14ac:dyDescent="0.25">
      <c r="J286" s="1"/>
    </row>
    <row r="287" spans="10:10" ht="12.5" x14ac:dyDescent="0.25">
      <c r="J287" s="1"/>
    </row>
    <row r="288" spans="10:10" ht="12.5" x14ac:dyDescent="0.25">
      <c r="J288" s="1"/>
    </row>
    <row r="289" spans="10:10" ht="12.5" x14ac:dyDescent="0.25">
      <c r="J289" s="1"/>
    </row>
    <row r="290" spans="10:10" ht="12.5" x14ac:dyDescent="0.25">
      <c r="J290" s="1"/>
    </row>
    <row r="291" spans="10:10" ht="12.5" x14ac:dyDescent="0.25">
      <c r="J291" s="1"/>
    </row>
    <row r="292" spans="10:10" ht="12.5" x14ac:dyDescent="0.25">
      <c r="J292" s="1"/>
    </row>
    <row r="293" spans="10:10" ht="12.5" x14ac:dyDescent="0.25">
      <c r="J293" s="1"/>
    </row>
    <row r="294" spans="10:10" ht="12.5" x14ac:dyDescent="0.25">
      <c r="J294" s="1"/>
    </row>
    <row r="295" spans="10:10" ht="12.5" x14ac:dyDescent="0.25">
      <c r="J295" s="1"/>
    </row>
    <row r="296" spans="10:10" ht="12.5" x14ac:dyDescent="0.25">
      <c r="J296" s="1"/>
    </row>
    <row r="297" spans="10:10" ht="12.5" x14ac:dyDescent="0.25">
      <c r="J297" s="1"/>
    </row>
    <row r="298" spans="10:10" ht="12.5" x14ac:dyDescent="0.25">
      <c r="J298" s="1"/>
    </row>
    <row r="299" spans="10:10" ht="12.5" x14ac:dyDescent="0.25">
      <c r="J299" s="1"/>
    </row>
    <row r="300" spans="10:10" ht="12.5" x14ac:dyDescent="0.25">
      <c r="J300" s="1"/>
    </row>
    <row r="301" spans="10:10" ht="12.5" x14ac:dyDescent="0.25">
      <c r="J301" s="1"/>
    </row>
    <row r="302" spans="10:10" ht="12.5" x14ac:dyDescent="0.25">
      <c r="J302" s="1"/>
    </row>
    <row r="303" spans="10:10" ht="12.5" x14ac:dyDescent="0.25">
      <c r="J303" s="1"/>
    </row>
    <row r="304" spans="10:10" ht="12.5" x14ac:dyDescent="0.25">
      <c r="J304" s="1"/>
    </row>
    <row r="305" spans="10:10" ht="12.5" x14ac:dyDescent="0.25">
      <c r="J305" s="1"/>
    </row>
    <row r="306" spans="10:10" ht="12.5" x14ac:dyDescent="0.25">
      <c r="J306" s="1"/>
    </row>
    <row r="307" spans="10:10" ht="12.5" x14ac:dyDescent="0.25">
      <c r="J307" s="1"/>
    </row>
    <row r="308" spans="10:10" ht="12.5" x14ac:dyDescent="0.25">
      <c r="J308" s="1"/>
    </row>
    <row r="309" spans="10:10" ht="12.5" x14ac:dyDescent="0.25">
      <c r="J309" s="1"/>
    </row>
    <row r="310" spans="10:10" ht="12.5" x14ac:dyDescent="0.25">
      <c r="J310" s="1"/>
    </row>
    <row r="311" spans="10:10" ht="12.5" x14ac:dyDescent="0.25">
      <c r="J311" s="1"/>
    </row>
    <row r="312" spans="10:10" ht="12.5" x14ac:dyDescent="0.25">
      <c r="J312" s="1"/>
    </row>
    <row r="313" spans="10:10" ht="12.5" x14ac:dyDescent="0.25">
      <c r="J313" s="1"/>
    </row>
    <row r="314" spans="10:10" ht="12.5" x14ac:dyDescent="0.25">
      <c r="J314" s="1"/>
    </row>
    <row r="315" spans="10:10" ht="12.5" x14ac:dyDescent="0.25">
      <c r="J315" s="1"/>
    </row>
    <row r="316" spans="10:10" ht="12.5" x14ac:dyDescent="0.25">
      <c r="J316" s="1"/>
    </row>
    <row r="317" spans="10:10" ht="12.5" x14ac:dyDescent="0.25">
      <c r="J317" s="1"/>
    </row>
    <row r="318" spans="10:10" ht="12.5" x14ac:dyDescent="0.25">
      <c r="J318" s="1"/>
    </row>
    <row r="319" spans="10:10" ht="12.5" x14ac:dyDescent="0.25">
      <c r="J319" s="1"/>
    </row>
    <row r="320" spans="10:10" ht="12.5" x14ac:dyDescent="0.25">
      <c r="J320" s="1"/>
    </row>
    <row r="321" spans="10:10" ht="12.5" x14ac:dyDescent="0.25">
      <c r="J321" s="1"/>
    </row>
    <row r="322" spans="10:10" ht="12.5" x14ac:dyDescent="0.25">
      <c r="J322" s="1"/>
    </row>
    <row r="323" spans="10:10" ht="12.5" x14ac:dyDescent="0.25">
      <c r="J323" s="1"/>
    </row>
    <row r="324" spans="10:10" ht="12.5" x14ac:dyDescent="0.25">
      <c r="J324" s="1"/>
    </row>
    <row r="325" spans="10:10" ht="12.5" x14ac:dyDescent="0.25">
      <c r="J325" s="1"/>
    </row>
    <row r="326" spans="10:10" ht="12.5" x14ac:dyDescent="0.25">
      <c r="J326" s="1"/>
    </row>
    <row r="327" spans="10:10" ht="12.5" x14ac:dyDescent="0.25">
      <c r="J327" s="1"/>
    </row>
    <row r="328" spans="10:10" ht="12.5" x14ac:dyDescent="0.25">
      <c r="J328" s="1"/>
    </row>
    <row r="329" spans="10:10" ht="12.5" x14ac:dyDescent="0.25">
      <c r="J329" s="1"/>
    </row>
    <row r="330" spans="10:10" ht="12.5" x14ac:dyDescent="0.25">
      <c r="J330" s="1"/>
    </row>
    <row r="331" spans="10:10" ht="12.5" x14ac:dyDescent="0.25">
      <c r="J331" s="1"/>
    </row>
    <row r="332" spans="10:10" ht="12.5" x14ac:dyDescent="0.25">
      <c r="J332" s="1"/>
    </row>
    <row r="333" spans="10:10" ht="12.5" x14ac:dyDescent="0.25">
      <c r="J333" s="1"/>
    </row>
    <row r="334" spans="10:10" ht="12.5" x14ac:dyDescent="0.25">
      <c r="J334" s="1"/>
    </row>
    <row r="335" spans="10:10" ht="12.5" x14ac:dyDescent="0.25">
      <c r="J335" s="1"/>
    </row>
    <row r="336" spans="10:10" ht="12.5" x14ac:dyDescent="0.25">
      <c r="J336" s="1"/>
    </row>
    <row r="337" spans="10:10" ht="12.5" x14ac:dyDescent="0.25">
      <c r="J337" s="1"/>
    </row>
    <row r="338" spans="10:10" ht="12.5" x14ac:dyDescent="0.25">
      <c r="J338" s="1"/>
    </row>
    <row r="339" spans="10:10" ht="12.5" x14ac:dyDescent="0.25">
      <c r="J339" s="1"/>
    </row>
    <row r="340" spans="10:10" ht="12.5" x14ac:dyDescent="0.25">
      <c r="J340" s="1"/>
    </row>
    <row r="341" spans="10:10" ht="12.5" x14ac:dyDescent="0.25">
      <c r="J341" s="1"/>
    </row>
    <row r="342" spans="10:10" ht="12.5" x14ac:dyDescent="0.25">
      <c r="J342" s="1"/>
    </row>
    <row r="343" spans="10:10" ht="12.5" x14ac:dyDescent="0.25">
      <c r="J343" s="1"/>
    </row>
    <row r="344" spans="10:10" ht="12.5" x14ac:dyDescent="0.25">
      <c r="J344" s="1"/>
    </row>
    <row r="345" spans="10:10" ht="12.5" x14ac:dyDescent="0.25">
      <c r="J345" s="1"/>
    </row>
    <row r="346" spans="10:10" ht="12.5" x14ac:dyDescent="0.25">
      <c r="J346" s="1"/>
    </row>
    <row r="347" spans="10:10" ht="12.5" x14ac:dyDescent="0.25">
      <c r="J347" s="1"/>
    </row>
    <row r="348" spans="10:10" ht="12.5" x14ac:dyDescent="0.25">
      <c r="J348" s="1"/>
    </row>
    <row r="349" spans="10:10" ht="12.5" x14ac:dyDescent="0.25">
      <c r="J349" s="1"/>
    </row>
    <row r="350" spans="10:10" ht="12.5" x14ac:dyDescent="0.25">
      <c r="J350" s="1"/>
    </row>
    <row r="351" spans="10:10" ht="12.5" x14ac:dyDescent="0.25">
      <c r="J351" s="1"/>
    </row>
    <row r="352" spans="10:10" ht="12.5" x14ac:dyDescent="0.25">
      <c r="J352" s="1"/>
    </row>
    <row r="353" spans="10:10" ht="12.5" x14ac:dyDescent="0.25">
      <c r="J353" s="1"/>
    </row>
    <row r="354" spans="10:10" ht="12.5" x14ac:dyDescent="0.25">
      <c r="J354" s="1"/>
    </row>
    <row r="355" spans="10:10" ht="12.5" x14ac:dyDescent="0.25">
      <c r="J355" s="1"/>
    </row>
    <row r="356" spans="10:10" ht="12.5" x14ac:dyDescent="0.25">
      <c r="J356" s="1"/>
    </row>
    <row r="357" spans="10:10" ht="12.5" x14ac:dyDescent="0.25">
      <c r="J357" s="1"/>
    </row>
    <row r="358" spans="10:10" ht="12.5" x14ac:dyDescent="0.25">
      <c r="J358" s="1"/>
    </row>
    <row r="359" spans="10:10" ht="12.5" x14ac:dyDescent="0.25">
      <c r="J359" s="1"/>
    </row>
    <row r="360" spans="10:10" ht="12.5" x14ac:dyDescent="0.25">
      <c r="J360" s="1"/>
    </row>
    <row r="361" spans="10:10" ht="12.5" x14ac:dyDescent="0.25">
      <c r="J361" s="1"/>
    </row>
    <row r="362" spans="10:10" ht="12.5" x14ac:dyDescent="0.25">
      <c r="J362" s="1"/>
    </row>
    <row r="363" spans="10:10" ht="12.5" x14ac:dyDescent="0.25">
      <c r="J363" s="1"/>
    </row>
    <row r="364" spans="10:10" ht="12.5" x14ac:dyDescent="0.25">
      <c r="J364" s="1"/>
    </row>
    <row r="365" spans="10:10" ht="12.5" x14ac:dyDescent="0.25">
      <c r="J365" s="1"/>
    </row>
    <row r="366" spans="10:10" ht="12.5" x14ac:dyDescent="0.25">
      <c r="J366" s="1"/>
    </row>
    <row r="367" spans="10:10" ht="12.5" x14ac:dyDescent="0.25">
      <c r="J367" s="1"/>
    </row>
    <row r="368" spans="10:10" ht="12.5" x14ac:dyDescent="0.25">
      <c r="J368" s="1"/>
    </row>
    <row r="369" spans="10:10" ht="12.5" x14ac:dyDescent="0.25">
      <c r="J369" s="1"/>
    </row>
    <row r="370" spans="10:10" ht="12.5" x14ac:dyDescent="0.25">
      <c r="J370" s="1"/>
    </row>
    <row r="371" spans="10:10" ht="12.5" x14ac:dyDescent="0.25">
      <c r="J371" s="1"/>
    </row>
    <row r="372" spans="10:10" ht="12.5" x14ac:dyDescent="0.25">
      <c r="J372" s="1"/>
    </row>
    <row r="373" spans="10:10" ht="12.5" x14ac:dyDescent="0.25">
      <c r="J373" s="1"/>
    </row>
    <row r="374" spans="10:10" ht="12.5" x14ac:dyDescent="0.25">
      <c r="J374" s="1"/>
    </row>
    <row r="375" spans="10:10" ht="12.5" x14ac:dyDescent="0.25">
      <c r="J375" s="1"/>
    </row>
    <row r="376" spans="10:10" ht="12.5" x14ac:dyDescent="0.25">
      <c r="J376" s="1"/>
    </row>
    <row r="377" spans="10:10" ht="12.5" x14ac:dyDescent="0.25">
      <c r="J377" s="1"/>
    </row>
    <row r="378" spans="10:10" ht="12.5" x14ac:dyDescent="0.25">
      <c r="J378" s="1"/>
    </row>
    <row r="379" spans="10:10" ht="12.5" x14ac:dyDescent="0.25">
      <c r="J379" s="1"/>
    </row>
    <row r="380" spans="10:10" ht="12.5" x14ac:dyDescent="0.25">
      <c r="J380" s="1"/>
    </row>
    <row r="381" spans="10:10" ht="12.5" x14ac:dyDescent="0.25">
      <c r="J381" s="1"/>
    </row>
    <row r="382" spans="10:10" ht="12.5" x14ac:dyDescent="0.25">
      <c r="J382" s="1"/>
    </row>
    <row r="383" spans="10:10" ht="12.5" x14ac:dyDescent="0.25">
      <c r="J383" s="1"/>
    </row>
    <row r="384" spans="10:10" ht="12.5" x14ac:dyDescent="0.25">
      <c r="J384" s="1"/>
    </row>
    <row r="385" spans="10:10" ht="12.5" x14ac:dyDescent="0.25">
      <c r="J385" s="1"/>
    </row>
    <row r="386" spans="10:10" ht="12.5" x14ac:dyDescent="0.25">
      <c r="J386" s="1"/>
    </row>
    <row r="387" spans="10:10" ht="12.5" x14ac:dyDescent="0.25">
      <c r="J387" s="1"/>
    </row>
    <row r="388" spans="10:10" ht="12.5" x14ac:dyDescent="0.25">
      <c r="J388" s="1"/>
    </row>
    <row r="389" spans="10:10" ht="12.5" x14ac:dyDescent="0.25">
      <c r="J389" s="1"/>
    </row>
    <row r="390" spans="10:10" ht="12.5" x14ac:dyDescent="0.25">
      <c r="J390" s="1"/>
    </row>
    <row r="391" spans="10:10" ht="12.5" x14ac:dyDescent="0.25">
      <c r="J391" s="1"/>
    </row>
    <row r="392" spans="10:10" ht="12.5" x14ac:dyDescent="0.25">
      <c r="J392" s="1"/>
    </row>
    <row r="393" spans="10:10" ht="12.5" x14ac:dyDescent="0.25">
      <c r="J393" s="1"/>
    </row>
    <row r="394" spans="10:10" ht="12.5" x14ac:dyDescent="0.25">
      <c r="J394" s="1"/>
    </row>
    <row r="395" spans="10:10" ht="12.5" x14ac:dyDescent="0.25">
      <c r="J395" s="1"/>
    </row>
    <row r="396" spans="10:10" ht="12.5" x14ac:dyDescent="0.25">
      <c r="J396" s="1"/>
    </row>
    <row r="397" spans="10:10" ht="12.5" x14ac:dyDescent="0.25">
      <c r="J397" s="1"/>
    </row>
    <row r="398" spans="10:10" ht="12.5" x14ac:dyDescent="0.25">
      <c r="J398" s="1"/>
    </row>
    <row r="399" spans="10:10" ht="12.5" x14ac:dyDescent="0.25">
      <c r="J399" s="1"/>
    </row>
    <row r="400" spans="10:10" ht="12.5" x14ac:dyDescent="0.25">
      <c r="J400" s="1"/>
    </row>
    <row r="401" spans="10:10" ht="12.5" x14ac:dyDescent="0.25">
      <c r="J401" s="1"/>
    </row>
    <row r="402" spans="10:10" ht="12.5" x14ac:dyDescent="0.25">
      <c r="J402" s="1"/>
    </row>
    <row r="403" spans="10:10" ht="12.5" x14ac:dyDescent="0.25">
      <c r="J403" s="1"/>
    </row>
    <row r="404" spans="10:10" ht="12.5" x14ac:dyDescent="0.25">
      <c r="J404" s="1"/>
    </row>
    <row r="405" spans="10:10" ht="12.5" x14ac:dyDescent="0.25">
      <c r="J405" s="1"/>
    </row>
    <row r="406" spans="10:10" ht="12.5" x14ac:dyDescent="0.25">
      <c r="J406" s="1"/>
    </row>
    <row r="407" spans="10:10" ht="12.5" x14ac:dyDescent="0.25">
      <c r="J407" s="1"/>
    </row>
    <row r="408" spans="10:10" ht="12.5" x14ac:dyDescent="0.25">
      <c r="J408" s="1"/>
    </row>
    <row r="409" spans="10:10" ht="12.5" x14ac:dyDescent="0.25">
      <c r="J409" s="1"/>
    </row>
    <row r="410" spans="10:10" ht="12.5" x14ac:dyDescent="0.25">
      <c r="J410" s="1"/>
    </row>
    <row r="411" spans="10:10" ht="12.5" x14ac:dyDescent="0.25">
      <c r="J411" s="1"/>
    </row>
    <row r="412" spans="10:10" ht="12.5" x14ac:dyDescent="0.25">
      <c r="J412" s="1"/>
    </row>
    <row r="413" spans="10:10" ht="12.5" x14ac:dyDescent="0.25">
      <c r="J413" s="1"/>
    </row>
    <row r="414" spans="10:10" ht="12.5" x14ac:dyDescent="0.25">
      <c r="J414" s="1"/>
    </row>
    <row r="415" spans="10:10" ht="12.5" x14ac:dyDescent="0.25">
      <c r="J415" s="1"/>
    </row>
    <row r="416" spans="10:10" ht="12.5" x14ac:dyDescent="0.25">
      <c r="J416" s="1"/>
    </row>
    <row r="417" spans="10:10" ht="12.5" x14ac:dyDescent="0.25">
      <c r="J417" s="1"/>
    </row>
    <row r="418" spans="10:10" ht="12.5" x14ac:dyDescent="0.25">
      <c r="J418" s="1"/>
    </row>
    <row r="419" spans="10:10" ht="12.5" x14ac:dyDescent="0.25">
      <c r="J419" s="1"/>
    </row>
    <row r="420" spans="10:10" ht="12.5" x14ac:dyDescent="0.25">
      <c r="J420" s="1"/>
    </row>
    <row r="421" spans="10:10" ht="12.5" x14ac:dyDescent="0.25">
      <c r="J421" s="1"/>
    </row>
    <row r="422" spans="10:10" ht="12.5" x14ac:dyDescent="0.25">
      <c r="J422" s="1"/>
    </row>
    <row r="423" spans="10:10" ht="12.5" x14ac:dyDescent="0.25">
      <c r="J423" s="1"/>
    </row>
    <row r="424" spans="10:10" ht="12.5" x14ac:dyDescent="0.25">
      <c r="J424" s="1"/>
    </row>
    <row r="425" spans="10:10" ht="12.5" x14ac:dyDescent="0.25">
      <c r="J425" s="1"/>
    </row>
    <row r="426" spans="10:10" ht="12.5" x14ac:dyDescent="0.25">
      <c r="J426" s="1"/>
    </row>
    <row r="427" spans="10:10" ht="12.5" x14ac:dyDescent="0.25">
      <c r="J427" s="1"/>
    </row>
    <row r="428" spans="10:10" ht="12.5" x14ac:dyDescent="0.25">
      <c r="J428" s="1"/>
    </row>
    <row r="429" spans="10:10" ht="12.5" x14ac:dyDescent="0.25">
      <c r="J429" s="1"/>
    </row>
    <row r="430" spans="10:10" ht="12.5" x14ac:dyDescent="0.25">
      <c r="J430" s="1"/>
    </row>
    <row r="431" spans="10:10" ht="12.5" x14ac:dyDescent="0.25">
      <c r="J431" s="1"/>
    </row>
    <row r="432" spans="10:10" ht="12.5" x14ac:dyDescent="0.25">
      <c r="J432" s="1"/>
    </row>
    <row r="433" spans="10:10" ht="12.5" x14ac:dyDescent="0.25">
      <c r="J433" s="1"/>
    </row>
    <row r="434" spans="10:10" ht="12.5" x14ac:dyDescent="0.25">
      <c r="J434" s="1"/>
    </row>
    <row r="435" spans="10:10" ht="12.5" x14ac:dyDescent="0.25">
      <c r="J435" s="1"/>
    </row>
    <row r="436" spans="10:10" ht="12.5" x14ac:dyDescent="0.25">
      <c r="J436" s="1"/>
    </row>
    <row r="437" spans="10:10" ht="12.5" x14ac:dyDescent="0.25">
      <c r="J437" s="1"/>
    </row>
    <row r="438" spans="10:10" ht="12.5" x14ac:dyDescent="0.25">
      <c r="J438" s="1"/>
    </row>
    <row r="439" spans="10:10" ht="12.5" x14ac:dyDescent="0.25">
      <c r="J439" s="1"/>
    </row>
    <row r="440" spans="10:10" ht="12.5" x14ac:dyDescent="0.25">
      <c r="J440" s="1"/>
    </row>
    <row r="441" spans="10:10" ht="12.5" x14ac:dyDescent="0.25">
      <c r="J441" s="1"/>
    </row>
    <row r="442" spans="10:10" ht="12.5" x14ac:dyDescent="0.25">
      <c r="J442" s="1"/>
    </row>
    <row r="443" spans="10:10" ht="12.5" x14ac:dyDescent="0.25">
      <c r="J443" s="1"/>
    </row>
    <row r="444" spans="10:10" ht="12.5" x14ac:dyDescent="0.25">
      <c r="J444" s="1"/>
    </row>
    <row r="445" spans="10:10" ht="12.5" x14ac:dyDescent="0.25">
      <c r="J445" s="1"/>
    </row>
    <row r="446" spans="10:10" ht="12.5" x14ac:dyDescent="0.25">
      <c r="J446" s="1"/>
    </row>
    <row r="447" spans="10:10" ht="12.5" x14ac:dyDescent="0.25">
      <c r="J447" s="1"/>
    </row>
    <row r="448" spans="10:10" ht="12.5" x14ac:dyDescent="0.25">
      <c r="J448" s="1"/>
    </row>
    <row r="449" spans="10:10" ht="12.5" x14ac:dyDescent="0.25">
      <c r="J449" s="1"/>
    </row>
    <row r="450" spans="10:10" ht="12.5" x14ac:dyDescent="0.25">
      <c r="J450" s="1"/>
    </row>
    <row r="451" spans="10:10" ht="12.5" x14ac:dyDescent="0.25">
      <c r="J451" s="1"/>
    </row>
    <row r="452" spans="10:10" ht="12.5" x14ac:dyDescent="0.25">
      <c r="J452" s="1"/>
    </row>
    <row r="453" spans="10:10" ht="12.5" x14ac:dyDescent="0.25">
      <c r="J453" s="1"/>
    </row>
    <row r="454" spans="10:10" ht="12.5" x14ac:dyDescent="0.25">
      <c r="J454" s="1"/>
    </row>
    <row r="455" spans="10:10" ht="12.5" x14ac:dyDescent="0.25">
      <c r="J455" s="1"/>
    </row>
    <row r="456" spans="10:10" ht="12.5" x14ac:dyDescent="0.25">
      <c r="J456" s="1"/>
    </row>
    <row r="457" spans="10:10" ht="12.5" x14ac:dyDescent="0.25">
      <c r="J457" s="1"/>
    </row>
    <row r="458" spans="10:10" ht="12.5" x14ac:dyDescent="0.25">
      <c r="J458" s="1"/>
    </row>
    <row r="459" spans="10:10" ht="12.5" x14ac:dyDescent="0.25">
      <c r="J459" s="1"/>
    </row>
    <row r="460" spans="10:10" ht="12.5" x14ac:dyDescent="0.25">
      <c r="J460" s="1"/>
    </row>
    <row r="461" spans="10:10" ht="12.5" x14ac:dyDescent="0.25">
      <c r="J461" s="1"/>
    </row>
    <row r="462" spans="10:10" ht="12.5" x14ac:dyDescent="0.25">
      <c r="J462" s="1"/>
    </row>
    <row r="463" spans="10:10" ht="12.5" x14ac:dyDescent="0.25">
      <c r="J463" s="1"/>
    </row>
    <row r="464" spans="10:10" ht="12.5" x14ac:dyDescent="0.25">
      <c r="J464" s="1"/>
    </row>
    <row r="465" spans="10:10" ht="12.5" x14ac:dyDescent="0.25">
      <c r="J465" s="1"/>
    </row>
    <row r="466" spans="10:10" ht="12.5" x14ac:dyDescent="0.25">
      <c r="J466" s="1"/>
    </row>
    <row r="467" spans="10:10" ht="12.5" x14ac:dyDescent="0.25">
      <c r="J467" s="1"/>
    </row>
    <row r="468" spans="10:10" ht="12.5" x14ac:dyDescent="0.25">
      <c r="J468" s="1"/>
    </row>
    <row r="469" spans="10:10" ht="12.5" x14ac:dyDescent="0.25">
      <c r="J469" s="1"/>
    </row>
    <row r="470" spans="10:10" ht="12.5" x14ac:dyDescent="0.25">
      <c r="J470" s="1"/>
    </row>
    <row r="471" spans="10:10" ht="12.5" x14ac:dyDescent="0.25">
      <c r="J471" s="1"/>
    </row>
    <row r="472" spans="10:10" ht="12.5" x14ac:dyDescent="0.25">
      <c r="J472" s="1"/>
    </row>
    <row r="473" spans="10:10" ht="12.5" x14ac:dyDescent="0.25">
      <c r="J473" s="1"/>
    </row>
    <row r="474" spans="10:10" ht="12.5" x14ac:dyDescent="0.25">
      <c r="J474" s="1"/>
    </row>
    <row r="475" spans="10:10" ht="12.5" x14ac:dyDescent="0.25">
      <c r="J475" s="1"/>
    </row>
    <row r="476" spans="10:10" ht="12.5" x14ac:dyDescent="0.25">
      <c r="J476" s="1"/>
    </row>
    <row r="477" spans="10:10" ht="12.5" x14ac:dyDescent="0.25">
      <c r="J477" s="1"/>
    </row>
    <row r="478" spans="10:10" ht="12.5" x14ac:dyDescent="0.25">
      <c r="J478" s="1"/>
    </row>
    <row r="479" spans="10:10" ht="12.5" x14ac:dyDescent="0.25">
      <c r="J479" s="1"/>
    </row>
    <row r="480" spans="10:10" ht="12.5" x14ac:dyDescent="0.25">
      <c r="J480" s="1"/>
    </row>
    <row r="481" spans="10:10" ht="12.5" x14ac:dyDescent="0.25">
      <c r="J481" s="1"/>
    </row>
    <row r="482" spans="10:10" ht="12.5" x14ac:dyDescent="0.25">
      <c r="J482" s="1"/>
    </row>
    <row r="483" spans="10:10" ht="12.5" x14ac:dyDescent="0.25">
      <c r="J483" s="1"/>
    </row>
    <row r="484" spans="10:10" ht="12.5" x14ac:dyDescent="0.25">
      <c r="J484" s="1"/>
    </row>
    <row r="485" spans="10:10" ht="12.5" x14ac:dyDescent="0.25">
      <c r="J485" s="1"/>
    </row>
    <row r="486" spans="10:10" ht="12.5" x14ac:dyDescent="0.25">
      <c r="J486" s="1"/>
    </row>
    <row r="487" spans="10:10" ht="12.5" x14ac:dyDescent="0.25">
      <c r="J487" s="1"/>
    </row>
    <row r="488" spans="10:10" ht="12.5" x14ac:dyDescent="0.25">
      <c r="J488" s="1"/>
    </row>
    <row r="489" spans="10:10" ht="12.5" x14ac:dyDescent="0.25">
      <c r="J489" s="1"/>
    </row>
    <row r="490" spans="10:10" ht="12.5" x14ac:dyDescent="0.25">
      <c r="J490" s="1"/>
    </row>
    <row r="491" spans="10:10" ht="12.5" x14ac:dyDescent="0.25">
      <c r="J491" s="1"/>
    </row>
    <row r="492" spans="10:10" ht="12.5" x14ac:dyDescent="0.25">
      <c r="J492" s="1"/>
    </row>
    <row r="493" spans="10:10" ht="12.5" x14ac:dyDescent="0.25">
      <c r="J493" s="1"/>
    </row>
    <row r="494" spans="10:10" ht="12.5" x14ac:dyDescent="0.25">
      <c r="J494" s="1"/>
    </row>
    <row r="495" spans="10:10" ht="12.5" x14ac:dyDescent="0.25">
      <c r="J495" s="1"/>
    </row>
    <row r="496" spans="10:10" ht="12.5" x14ac:dyDescent="0.25">
      <c r="J496" s="1"/>
    </row>
    <row r="497" spans="10:10" ht="12.5" x14ac:dyDescent="0.25">
      <c r="J497" s="1"/>
    </row>
    <row r="498" spans="10:10" ht="12.5" x14ac:dyDescent="0.25">
      <c r="J498" s="1"/>
    </row>
    <row r="499" spans="10:10" ht="12.5" x14ac:dyDescent="0.25">
      <c r="J499" s="1"/>
    </row>
    <row r="500" spans="10:10" ht="12.5" x14ac:dyDescent="0.25">
      <c r="J500" s="1"/>
    </row>
    <row r="501" spans="10:10" ht="12.5" x14ac:dyDescent="0.25">
      <c r="J501" s="1"/>
    </row>
    <row r="502" spans="10:10" ht="12.5" x14ac:dyDescent="0.25">
      <c r="J502" s="1"/>
    </row>
    <row r="503" spans="10:10" ht="12.5" x14ac:dyDescent="0.25">
      <c r="J503" s="1"/>
    </row>
    <row r="504" spans="10:10" ht="12.5" x14ac:dyDescent="0.25">
      <c r="J504" s="1"/>
    </row>
    <row r="505" spans="10:10" ht="12.5" x14ac:dyDescent="0.25">
      <c r="J505" s="1"/>
    </row>
    <row r="506" spans="10:10" ht="12.5" x14ac:dyDescent="0.25">
      <c r="J506" s="1"/>
    </row>
    <row r="507" spans="10:10" ht="12.5" x14ac:dyDescent="0.25">
      <c r="J507" s="1"/>
    </row>
    <row r="508" spans="10:10" ht="12.5" x14ac:dyDescent="0.25">
      <c r="J508" s="1"/>
    </row>
    <row r="509" spans="10:10" ht="12.5" x14ac:dyDescent="0.25">
      <c r="J509" s="1"/>
    </row>
    <row r="510" spans="10:10" ht="12.5" x14ac:dyDescent="0.25">
      <c r="J510" s="1"/>
    </row>
    <row r="511" spans="10:10" ht="12.5" x14ac:dyDescent="0.25">
      <c r="J511" s="1"/>
    </row>
    <row r="512" spans="10:10" ht="12.5" x14ac:dyDescent="0.25">
      <c r="J512" s="1"/>
    </row>
    <row r="513" spans="10:10" ht="12.5" x14ac:dyDescent="0.25">
      <c r="J513" s="1"/>
    </row>
    <row r="514" spans="10:10" ht="12.5" x14ac:dyDescent="0.25">
      <c r="J514" s="1"/>
    </row>
    <row r="515" spans="10:10" ht="12.5" x14ac:dyDescent="0.25">
      <c r="J515" s="1"/>
    </row>
    <row r="516" spans="10:10" ht="12.5" x14ac:dyDescent="0.25">
      <c r="J516" s="1"/>
    </row>
    <row r="517" spans="10:10" ht="12.5" x14ac:dyDescent="0.25">
      <c r="J517" s="1"/>
    </row>
    <row r="518" spans="10:10" ht="12.5" x14ac:dyDescent="0.25">
      <c r="J518" s="1"/>
    </row>
    <row r="519" spans="10:10" ht="12.5" x14ac:dyDescent="0.25">
      <c r="J519" s="1"/>
    </row>
    <row r="520" spans="10:10" ht="12.5" x14ac:dyDescent="0.25">
      <c r="J520" s="1"/>
    </row>
    <row r="521" spans="10:10" ht="12.5" x14ac:dyDescent="0.25">
      <c r="J521" s="1"/>
    </row>
    <row r="522" spans="10:10" ht="12.5" x14ac:dyDescent="0.25">
      <c r="J522" s="1"/>
    </row>
    <row r="523" spans="10:10" ht="12.5" x14ac:dyDescent="0.25">
      <c r="J523" s="1"/>
    </row>
    <row r="524" spans="10:10" ht="12.5" x14ac:dyDescent="0.25">
      <c r="J524" s="1"/>
    </row>
    <row r="525" spans="10:10" ht="12.5" x14ac:dyDescent="0.25">
      <c r="J525" s="1"/>
    </row>
    <row r="526" spans="10:10" ht="12.5" x14ac:dyDescent="0.25">
      <c r="J526" s="1"/>
    </row>
    <row r="527" spans="10:10" ht="12.5" x14ac:dyDescent="0.25">
      <c r="J527" s="1"/>
    </row>
    <row r="528" spans="10:10" ht="12.5" x14ac:dyDescent="0.25">
      <c r="J528" s="1"/>
    </row>
    <row r="529" spans="10:10" ht="12.5" x14ac:dyDescent="0.25">
      <c r="J529" s="1"/>
    </row>
    <row r="530" spans="10:10" ht="12.5" x14ac:dyDescent="0.25">
      <c r="J530" s="1"/>
    </row>
    <row r="531" spans="10:10" ht="12.5" x14ac:dyDescent="0.25">
      <c r="J531" s="1"/>
    </row>
    <row r="532" spans="10:10" ht="12.5" x14ac:dyDescent="0.25">
      <c r="J532" s="1"/>
    </row>
    <row r="533" spans="10:10" ht="12.5" x14ac:dyDescent="0.25">
      <c r="J533" s="1"/>
    </row>
    <row r="534" spans="10:10" ht="12.5" x14ac:dyDescent="0.25">
      <c r="J534" s="1"/>
    </row>
    <row r="535" spans="10:10" ht="12.5" x14ac:dyDescent="0.25">
      <c r="J535" s="1"/>
    </row>
    <row r="536" spans="10:10" ht="12.5" x14ac:dyDescent="0.25">
      <c r="J536" s="1"/>
    </row>
    <row r="537" spans="10:10" ht="12.5" x14ac:dyDescent="0.25">
      <c r="J537" s="1"/>
    </row>
    <row r="538" spans="10:10" ht="12.5" x14ac:dyDescent="0.25">
      <c r="J538" s="1"/>
    </row>
    <row r="539" spans="10:10" ht="12.5" x14ac:dyDescent="0.25">
      <c r="J539" s="1"/>
    </row>
    <row r="540" spans="10:10" ht="12.5" x14ac:dyDescent="0.25">
      <c r="J540" s="1"/>
    </row>
    <row r="541" spans="10:10" ht="12.5" x14ac:dyDescent="0.25">
      <c r="J541" s="1"/>
    </row>
    <row r="542" spans="10:10" ht="12.5" x14ac:dyDescent="0.25">
      <c r="J542" s="1"/>
    </row>
    <row r="543" spans="10:10" ht="12.5" x14ac:dyDescent="0.25">
      <c r="J543" s="1"/>
    </row>
    <row r="544" spans="10:10" ht="12.5" x14ac:dyDescent="0.25">
      <c r="J544" s="1"/>
    </row>
    <row r="545" spans="10:10" ht="12.5" x14ac:dyDescent="0.25">
      <c r="J545" s="1"/>
    </row>
    <row r="546" spans="10:10" ht="12.5" x14ac:dyDescent="0.25">
      <c r="J546" s="1"/>
    </row>
    <row r="547" spans="10:10" ht="12.5" x14ac:dyDescent="0.25">
      <c r="J547" s="1"/>
    </row>
    <row r="548" spans="10:10" ht="12.5" x14ac:dyDescent="0.25">
      <c r="J548" s="1"/>
    </row>
    <row r="549" spans="10:10" ht="12.5" x14ac:dyDescent="0.25">
      <c r="J549" s="1"/>
    </row>
    <row r="550" spans="10:10" ht="12.5" x14ac:dyDescent="0.25">
      <c r="J550" s="1"/>
    </row>
    <row r="551" spans="10:10" ht="12.5" x14ac:dyDescent="0.25">
      <c r="J551" s="1"/>
    </row>
    <row r="552" spans="10:10" ht="12.5" x14ac:dyDescent="0.25">
      <c r="J552" s="1"/>
    </row>
    <row r="553" spans="10:10" ht="12.5" x14ac:dyDescent="0.25">
      <c r="J553" s="1"/>
    </row>
    <row r="554" spans="10:10" ht="12.5" x14ac:dyDescent="0.25">
      <c r="J554" s="1"/>
    </row>
    <row r="555" spans="10:10" ht="12.5" x14ac:dyDescent="0.25">
      <c r="J555" s="1"/>
    </row>
    <row r="556" spans="10:10" ht="12.5" x14ac:dyDescent="0.25">
      <c r="J556" s="1"/>
    </row>
    <row r="557" spans="10:10" ht="12.5" x14ac:dyDescent="0.25">
      <c r="J557" s="1"/>
    </row>
    <row r="558" spans="10:10" ht="12.5" x14ac:dyDescent="0.25">
      <c r="J558" s="1"/>
    </row>
    <row r="559" spans="10:10" ht="12.5" x14ac:dyDescent="0.25">
      <c r="J559" s="1"/>
    </row>
    <row r="560" spans="10:10" ht="12.5" x14ac:dyDescent="0.25">
      <c r="J560" s="1"/>
    </row>
    <row r="561" spans="10:10" ht="12.5" x14ac:dyDescent="0.25">
      <c r="J561" s="1"/>
    </row>
    <row r="562" spans="10:10" ht="12.5" x14ac:dyDescent="0.25">
      <c r="J562" s="1"/>
    </row>
    <row r="563" spans="10:10" ht="12.5" x14ac:dyDescent="0.25">
      <c r="J563" s="1"/>
    </row>
    <row r="564" spans="10:10" ht="12.5" x14ac:dyDescent="0.25">
      <c r="J564" s="1"/>
    </row>
    <row r="565" spans="10:10" ht="12.5" x14ac:dyDescent="0.25">
      <c r="J565" s="1"/>
    </row>
    <row r="566" spans="10:10" ht="12.5" x14ac:dyDescent="0.25">
      <c r="J566" s="1"/>
    </row>
    <row r="567" spans="10:10" ht="12.5" x14ac:dyDescent="0.25">
      <c r="J567" s="1"/>
    </row>
    <row r="568" spans="10:10" ht="12.5" x14ac:dyDescent="0.25">
      <c r="J568" s="1"/>
    </row>
    <row r="569" spans="10:10" ht="12.5" x14ac:dyDescent="0.25">
      <c r="J569" s="1"/>
    </row>
    <row r="570" spans="10:10" ht="12.5" x14ac:dyDescent="0.25">
      <c r="J570" s="1"/>
    </row>
    <row r="571" spans="10:10" ht="12.5" x14ac:dyDescent="0.25">
      <c r="J571" s="1"/>
    </row>
    <row r="572" spans="10:10" ht="12.5" x14ac:dyDescent="0.25">
      <c r="J572" s="1"/>
    </row>
    <row r="573" spans="10:10" ht="12.5" x14ac:dyDescent="0.25">
      <c r="J573" s="1"/>
    </row>
    <row r="574" spans="10:10" ht="12.5" x14ac:dyDescent="0.25">
      <c r="J574" s="1"/>
    </row>
    <row r="575" spans="10:10" ht="12.5" x14ac:dyDescent="0.25">
      <c r="J575" s="1"/>
    </row>
    <row r="576" spans="10:10" ht="12.5" x14ac:dyDescent="0.25">
      <c r="J576" s="1"/>
    </row>
    <row r="577" spans="10:10" ht="12.5" x14ac:dyDescent="0.25">
      <c r="J577" s="1"/>
    </row>
    <row r="578" spans="10:10" ht="12.5" x14ac:dyDescent="0.25">
      <c r="J578" s="1"/>
    </row>
    <row r="579" spans="10:10" ht="12.5" x14ac:dyDescent="0.25">
      <c r="J579" s="1"/>
    </row>
    <row r="580" spans="10:10" ht="12.5" x14ac:dyDescent="0.25">
      <c r="J580" s="1"/>
    </row>
    <row r="581" spans="10:10" ht="12.5" x14ac:dyDescent="0.25">
      <c r="J581" s="1"/>
    </row>
    <row r="582" spans="10:10" ht="12.5" x14ac:dyDescent="0.25">
      <c r="J582" s="1"/>
    </row>
    <row r="583" spans="10:10" ht="12.5" x14ac:dyDescent="0.25">
      <c r="J583" s="1"/>
    </row>
    <row r="584" spans="10:10" ht="12.5" x14ac:dyDescent="0.25">
      <c r="J584" s="1"/>
    </row>
    <row r="585" spans="10:10" ht="12.5" x14ac:dyDescent="0.25">
      <c r="J585" s="1"/>
    </row>
    <row r="586" spans="10:10" ht="12.5" x14ac:dyDescent="0.25">
      <c r="J586" s="1"/>
    </row>
    <row r="587" spans="10:10" ht="12.5" x14ac:dyDescent="0.25">
      <c r="J587" s="1"/>
    </row>
    <row r="588" spans="10:10" ht="12.5" x14ac:dyDescent="0.25">
      <c r="J588" s="1"/>
    </row>
    <row r="589" spans="10:10" ht="12.5" x14ac:dyDescent="0.25">
      <c r="J589" s="1"/>
    </row>
    <row r="590" spans="10:10" ht="12.5" x14ac:dyDescent="0.25">
      <c r="J590" s="1"/>
    </row>
    <row r="591" spans="10:10" ht="12.5" x14ac:dyDescent="0.25">
      <c r="J591" s="1"/>
    </row>
    <row r="592" spans="10:10" ht="12.5" x14ac:dyDescent="0.25">
      <c r="J592" s="1"/>
    </row>
    <row r="593" spans="10:10" ht="12.5" x14ac:dyDescent="0.25">
      <c r="J593" s="1"/>
    </row>
    <row r="594" spans="10:10" ht="12.5" x14ac:dyDescent="0.25">
      <c r="J594" s="1"/>
    </row>
    <row r="595" spans="10:10" ht="12.5" x14ac:dyDescent="0.25">
      <c r="J595" s="1"/>
    </row>
    <row r="596" spans="10:10" ht="12.5" x14ac:dyDescent="0.25">
      <c r="J596" s="1"/>
    </row>
    <row r="597" spans="10:10" ht="12.5" x14ac:dyDescent="0.25">
      <c r="J597" s="1"/>
    </row>
    <row r="598" spans="10:10" ht="12.5" x14ac:dyDescent="0.25">
      <c r="J598" s="1"/>
    </row>
    <row r="599" spans="10:10" ht="12.5" x14ac:dyDescent="0.25">
      <c r="J599" s="1"/>
    </row>
    <row r="600" spans="10:10" ht="12.5" x14ac:dyDescent="0.25">
      <c r="J600" s="1"/>
    </row>
    <row r="601" spans="10:10" ht="12.5" x14ac:dyDescent="0.25">
      <c r="J601" s="1"/>
    </row>
    <row r="602" spans="10:10" ht="12.5" x14ac:dyDescent="0.25">
      <c r="J602" s="1"/>
    </row>
    <row r="603" spans="10:10" ht="12.5" x14ac:dyDescent="0.25">
      <c r="J603" s="1"/>
    </row>
    <row r="604" spans="10:10" ht="12.5" x14ac:dyDescent="0.25">
      <c r="J604" s="1"/>
    </row>
    <row r="605" spans="10:10" ht="12.5" x14ac:dyDescent="0.25">
      <c r="J605" s="1"/>
    </row>
    <row r="606" spans="10:10" ht="12.5" x14ac:dyDescent="0.25">
      <c r="J606" s="1"/>
    </row>
    <row r="607" spans="10:10" ht="12.5" x14ac:dyDescent="0.25">
      <c r="J607" s="1"/>
    </row>
    <row r="608" spans="10:10" ht="12.5" x14ac:dyDescent="0.25">
      <c r="J608" s="1"/>
    </row>
    <row r="609" spans="10:10" ht="12.5" x14ac:dyDescent="0.25">
      <c r="J609" s="1"/>
    </row>
    <row r="610" spans="10:10" ht="12.5" x14ac:dyDescent="0.25">
      <c r="J610" s="1"/>
    </row>
    <row r="611" spans="10:10" ht="12.5" x14ac:dyDescent="0.25">
      <c r="J611" s="1"/>
    </row>
    <row r="612" spans="10:10" ht="12.5" x14ac:dyDescent="0.25">
      <c r="J612" s="1"/>
    </row>
    <row r="613" spans="10:10" ht="12.5" x14ac:dyDescent="0.25">
      <c r="J613" s="1"/>
    </row>
    <row r="614" spans="10:10" ht="12.5" x14ac:dyDescent="0.25">
      <c r="J614" s="1"/>
    </row>
    <row r="615" spans="10:10" ht="12.5" x14ac:dyDescent="0.25">
      <c r="J615" s="1"/>
    </row>
    <row r="616" spans="10:10" ht="12.5" x14ac:dyDescent="0.25">
      <c r="J616" s="1"/>
    </row>
    <row r="617" spans="10:10" ht="12.5" x14ac:dyDescent="0.25">
      <c r="J617" s="1"/>
    </row>
    <row r="618" spans="10:10" ht="12.5" x14ac:dyDescent="0.25">
      <c r="J618" s="1"/>
    </row>
    <row r="619" spans="10:10" ht="12.5" x14ac:dyDescent="0.25">
      <c r="J619" s="1"/>
    </row>
    <row r="620" spans="10:10" ht="12.5" x14ac:dyDescent="0.25">
      <c r="J620" s="1"/>
    </row>
    <row r="621" spans="10:10" ht="12.5" x14ac:dyDescent="0.25">
      <c r="J621" s="1"/>
    </row>
    <row r="622" spans="10:10" ht="12.5" x14ac:dyDescent="0.25">
      <c r="J622" s="1"/>
    </row>
    <row r="623" spans="10:10" ht="12.5" x14ac:dyDescent="0.25">
      <c r="J623" s="1"/>
    </row>
    <row r="624" spans="10:10" ht="12.5" x14ac:dyDescent="0.25">
      <c r="J624" s="1"/>
    </row>
    <row r="625" spans="10:10" ht="12.5" x14ac:dyDescent="0.25">
      <c r="J625" s="1"/>
    </row>
    <row r="626" spans="10:10" ht="12.5" x14ac:dyDescent="0.25">
      <c r="J626" s="1"/>
    </row>
    <row r="627" spans="10:10" ht="12.5" x14ac:dyDescent="0.25">
      <c r="J627" s="1"/>
    </row>
    <row r="628" spans="10:10" ht="12.5" x14ac:dyDescent="0.25">
      <c r="J628" s="1"/>
    </row>
    <row r="629" spans="10:10" ht="12.5" x14ac:dyDescent="0.25">
      <c r="J629" s="1"/>
    </row>
    <row r="630" spans="10:10" ht="12.5" x14ac:dyDescent="0.25">
      <c r="J630" s="1"/>
    </row>
    <row r="631" spans="10:10" ht="12.5" x14ac:dyDescent="0.25">
      <c r="J631" s="1"/>
    </row>
    <row r="632" spans="10:10" ht="12.5" x14ac:dyDescent="0.25">
      <c r="J632" s="1"/>
    </row>
    <row r="633" spans="10:10" ht="12.5" x14ac:dyDescent="0.25">
      <c r="J633" s="1"/>
    </row>
    <row r="634" spans="10:10" ht="12.5" x14ac:dyDescent="0.25">
      <c r="J634" s="1"/>
    </row>
    <row r="635" spans="10:10" ht="12.5" x14ac:dyDescent="0.25">
      <c r="J635" s="1"/>
    </row>
    <row r="636" spans="10:10" ht="12.5" x14ac:dyDescent="0.25">
      <c r="J636" s="1"/>
    </row>
    <row r="637" spans="10:10" ht="12.5" x14ac:dyDescent="0.25">
      <c r="J637" s="1"/>
    </row>
    <row r="638" spans="10:10" ht="12.5" x14ac:dyDescent="0.25">
      <c r="J638" s="1"/>
    </row>
    <row r="639" spans="10:10" ht="12.5" x14ac:dyDescent="0.25">
      <c r="J639" s="1"/>
    </row>
    <row r="640" spans="10:10" ht="12.5" x14ac:dyDescent="0.25">
      <c r="J640" s="1"/>
    </row>
    <row r="641" spans="10:10" ht="12.5" x14ac:dyDescent="0.25">
      <c r="J641" s="1"/>
    </row>
    <row r="642" spans="10:10" ht="12.5" x14ac:dyDescent="0.25">
      <c r="J642" s="1"/>
    </row>
    <row r="643" spans="10:10" ht="12.5" x14ac:dyDescent="0.25">
      <c r="J643" s="1"/>
    </row>
    <row r="644" spans="10:10" ht="12.5" x14ac:dyDescent="0.25">
      <c r="J644" s="1"/>
    </row>
    <row r="645" spans="10:10" ht="12.5" x14ac:dyDescent="0.25">
      <c r="J645" s="1"/>
    </row>
    <row r="646" spans="10:10" ht="12.5" x14ac:dyDescent="0.25">
      <c r="J646" s="1"/>
    </row>
    <row r="647" spans="10:10" ht="12.5" x14ac:dyDescent="0.25">
      <c r="J647" s="1"/>
    </row>
    <row r="648" spans="10:10" ht="12.5" x14ac:dyDescent="0.25">
      <c r="J648" s="1"/>
    </row>
    <row r="649" spans="10:10" ht="12.5" x14ac:dyDescent="0.25">
      <c r="J649" s="1"/>
    </row>
    <row r="650" spans="10:10" ht="12.5" x14ac:dyDescent="0.25">
      <c r="J650" s="1"/>
    </row>
    <row r="651" spans="10:10" ht="12.5" x14ac:dyDescent="0.25">
      <c r="J651" s="1"/>
    </row>
    <row r="652" spans="10:10" ht="12.5" x14ac:dyDescent="0.25">
      <c r="J652" s="1"/>
    </row>
    <row r="653" spans="10:10" ht="12.5" x14ac:dyDescent="0.25">
      <c r="J653" s="1"/>
    </row>
    <row r="654" spans="10:10" ht="12.5" x14ac:dyDescent="0.25">
      <c r="J654" s="1"/>
    </row>
    <row r="655" spans="10:10" ht="12.5" x14ac:dyDescent="0.25">
      <c r="J655" s="1"/>
    </row>
    <row r="656" spans="10:10" ht="12.5" x14ac:dyDescent="0.25">
      <c r="J656" s="1"/>
    </row>
    <row r="657" spans="10:10" ht="12.5" x14ac:dyDescent="0.25">
      <c r="J657" s="1"/>
    </row>
    <row r="658" spans="10:10" ht="12.5" x14ac:dyDescent="0.25">
      <c r="J658" s="1"/>
    </row>
    <row r="659" spans="10:10" ht="12.5" x14ac:dyDescent="0.25">
      <c r="J659" s="1"/>
    </row>
    <row r="660" spans="10:10" ht="12.5" x14ac:dyDescent="0.25">
      <c r="J660" s="1"/>
    </row>
    <row r="661" spans="10:10" ht="12.5" x14ac:dyDescent="0.25">
      <c r="J661" s="1"/>
    </row>
    <row r="662" spans="10:10" ht="12.5" x14ac:dyDescent="0.25">
      <c r="J662" s="1"/>
    </row>
    <row r="663" spans="10:10" ht="12.5" x14ac:dyDescent="0.25">
      <c r="J663" s="1"/>
    </row>
    <row r="664" spans="10:10" ht="12.5" x14ac:dyDescent="0.25">
      <c r="J664" s="1"/>
    </row>
    <row r="665" spans="10:10" ht="12.5" x14ac:dyDescent="0.25">
      <c r="J665" s="1"/>
    </row>
    <row r="666" spans="10:10" ht="12.5" x14ac:dyDescent="0.25">
      <c r="J666" s="1"/>
    </row>
    <row r="667" spans="10:10" ht="12.5" x14ac:dyDescent="0.25">
      <c r="J667" s="1"/>
    </row>
    <row r="668" spans="10:10" ht="12.5" x14ac:dyDescent="0.25">
      <c r="J668" s="1"/>
    </row>
    <row r="669" spans="10:10" ht="12.5" x14ac:dyDescent="0.25">
      <c r="J669" s="1"/>
    </row>
    <row r="670" spans="10:10" ht="12.5" x14ac:dyDescent="0.25">
      <c r="J670" s="1"/>
    </row>
    <row r="671" spans="10:10" ht="12.5" x14ac:dyDescent="0.25">
      <c r="J671" s="1"/>
    </row>
    <row r="672" spans="10:10" ht="12.5" x14ac:dyDescent="0.25">
      <c r="J672" s="1"/>
    </row>
    <row r="673" spans="10:10" ht="12.5" x14ac:dyDescent="0.25">
      <c r="J673" s="1"/>
    </row>
    <row r="674" spans="10:10" ht="12.5" x14ac:dyDescent="0.25">
      <c r="J674" s="1"/>
    </row>
    <row r="675" spans="10:10" ht="12.5" x14ac:dyDescent="0.25">
      <c r="J675" s="1"/>
    </row>
    <row r="676" spans="10:10" ht="12.5" x14ac:dyDescent="0.25">
      <c r="J676" s="1"/>
    </row>
    <row r="677" spans="10:10" ht="12.5" x14ac:dyDescent="0.25">
      <c r="J677" s="1"/>
    </row>
    <row r="678" spans="10:10" ht="12.5" x14ac:dyDescent="0.25">
      <c r="J678" s="1"/>
    </row>
    <row r="679" spans="10:10" ht="12.5" x14ac:dyDescent="0.25">
      <c r="J679" s="1"/>
    </row>
    <row r="680" spans="10:10" ht="12.5" x14ac:dyDescent="0.25">
      <c r="J680" s="1"/>
    </row>
    <row r="681" spans="10:10" ht="12.5" x14ac:dyDescent="0.25">
      <c r="J681" s="1"/>
    </row>
    <row r="682" spans="10:10" ht="12.5" x14ac:dyDescent="0.25">
      <c r="J682" s="1"/>
    </row>
    <row r="683" spans="10:10" ht="12.5" x14ac:dyDescent="0.25">
      <c r="J683" s="1"/>
    </row>
    <row r="684" spans="10:10" ht="12.5" x14ac:dyDescent="0.25">
      <c r="J684" s="1"/>
    </row>
    <row r="685" spans="10:10" ht="12.5" x14ac:dyDescent="0.25">
      <c r="J685" s="1"/>
    </row>
    <row r="686" spans="10:10" ht="12.5" x14ac:dyDescent="0.25">
      <c r="J686" s="1"/>
    </row>
    <row r="687" spans="10:10" ht="12.5" x14ac:dyDescent="0.25">
      <c r="J687" s="1"/>
    </row>
    <row r="688" spans="10:10" ht="12.5" x14ac:dyDescent="0.25">
      <c r="J688" s="1"/>
    </row>
    <row r="689" spans="10:10" ht="12.5" x14ac:dyDescent="0.25">
      <c r="J689" s="1"/>
    </row>
    <row r="690" spans="10:10" ht="12.5" x14ac:dyDescent="0.25">
      <c r="J690" s="1"/>
    </row>
    <row r="691" spans="10:10" ht="12.5" x14ac:dyDescent="0.25">
      <c r="J691" s="1"/>
    </row>
    <row r="692" spans="10:10" ht="12.5" x14ac:dyDescent="0.25">
      <c r="J692" s="1"/>
    </row>
    <row r="693" spans="10:10" ht="12.5" x14ac:dyDescent="0.25">
      <c r="J693" s="1"/>
    </row>
    <row r="694" spans="10:10" ht="12.5" x14ac:dyDescent="0.25">
      <c r="J694" s="1"/>
    </row>
    <row r="695" spans="10:10" ht="12.5" x14ac:dyDescent="0.25">
      <c r="J695" s="1"/>
    </row>
    <row r="696" spans="10:10" ht="12.5" x14ac:dyDescent="0.25">
      <c r="J696" s="1"/>
    </row>
    <row r="697" spans="10:10" ht="12.5" x14ac:dyDescent="0.25">
      <c r="J697" s="1"/>
    </row>
    <row r="698" spans="10:10" ht="12.5" x14ac:dyDescent="0.25">
      <c r="J698" s="1"/>
    </row>
    <row r="699" spans="10:10" ht="12.5" x14ac:dyDescent="0.25">
      <c r="J699" s="1"/>
    </row>
    <row r="700" spans="10:10" ht="12.5" x14ac:dyDescent="0.25">
      <c r="J700" s="1"/>
    </row>
    <row r="701" spans="10:10" ht="12.5" x14ac:dyDescent="0.25">
      <c r="J701" s="1"/>
    </row>
    <row r="702" spans="10:10" ht="12.5" x14ac:dyDescent="0.25">
      <c r="J702" s="1"/>
    </row>
    <row r="703" spans="10:10" ht="12.5" x14ac:dyDescent="0.25">
      <c r="J703" s="1"/>
    </row>
    <row r="704" spans="10:10" ht="12.5" x14ac:dyDescent="0.25">
      <c r="J704" s="1"/>
    </row>
    <row r="705" spans="10:10" ht="12.5" x14ac:dyDescent="0.25">
      <c r="J705" s="1"/>
    </row>
    <row r="706" spans="10:10" ht="12.5" x14ac:dyDescent="0.25">
      <c r="J706" s="1"/>
    </row>
    <row r="707" spans="10:10" ht="12.5" x14ac:dyDescent="0.25">
      <c r="J707" s="1"/>
    </row>
    <row r="708" spans="10:10" ht="12.5" x14ac:dyDescent="0.25">
      <c r="J708" s="1"/>
    </row>
    <row r="709" spans="10:10" ht="12.5" x14ac:dyDescent="0.25">
      <c r="J709" s="1"/>
    </row>
    <row r="710" spans="10:10" ht="12.5" x14ac:dyDescent="0.25">
      <c r="J710" s="1"/>
    </row>
    <row r="711" spans="10:10" ht="12.5" x14ac:dyDescent="0.25">
      <c r="J711" s="1"/>
    </row>
    <row r="712" spans="10:10" ht="12.5" x14ac:dyDescent="0.25">
      <c r="J712" s="1"/>
    </row>
    <row r="713" spans="10:10" ht="12.5" x14ac:dyDescent="0.25">
      <c r="J713" s="1"/>
    </row>
    <row r="714" spans="10:10" ht="12.5" x14ac:dyDescent="0.25">
      <c r="J714" s="1"/>
    </row>
    <row r="715" spans="10:10" ht="12.5" x14ac:dyDescent="0.25">
      <c r="J715" s="1"/>
    </row>
    <row r="716" spans="10:10" ht="12.5" x14ac:dyDescent="0.25">
      <c r="J716" s="1"/>
    </row>
    <row r="717" spans="10:10" ht="12.5" x14ac:dyDescent="0.25">
      <c r="J717" s="1"/>
    </row>
    <row r="718" spans="10:10" ht="12.5" x14ac:dyDescent="0.25">
      <c r="J718" s="1"/>
    </row>
    <row r="719" spans="10:10" ht="12.5" x14ac:dyDescent="0.25">
      <c r="J719" s="1"/>
    </row>
    <row r="720" spans="10:10" ht="12.5" x14ac:dyDescent="0.25">
      <c r="J720" s="1"/>
    </row>
    <row r="721" spans="10:10" ht="12.5" x14ac:dyDescent="0.25">
      <c r="J721" s="1"/>
    </row>
    <row r="722" spans="10:10" ht="12.5" x14ac:dyDescent="0.25">
      <c r="J722" s="1"/>
    </row>
    <row r="723" spans="10:10" ht="12.5" x14ac:dyDescent="0.25">
      <c r="J723" s="1"/>
    </row>
    <row r="724" spans="10:10" ht="12.5" x14ac:dyDescent="0.25">
      <c r="J724" s="1"/>
    </row>
    <row r="725" spans="10:10" ht="12.5" x14ac:dyDescent="0.25">
      <c r="J725" s="1"/>
    </row>
    <row r="726" spans="10:10" ht="12.5" x14ac:dyDescent="0.25">
      <c r="J726" s="1"/>
    </row>
    <row r="727" spans="10:10" ht="12.5" x14ac:dyDescent="0.25">
      <c r="J727" s="1"/>
    </row>
    <row r="728" spans="10:10" ht="12.5" x14ac:dyDescent="0.25">
      <c r="J728" s="1"/>
    </row>
    <row r="729" spans="10:10" ht="12.5" x14ac:dyDescent="0.25">
      <c r="J729" s="1"/>
    </row>
    <row r="730" spans="10:10" ht="12.5" x14ac:dyDescent="0.25">
      <c r="J730" s="1"/>
    </row>
    <row r="731" spans="10:10" ht="12.5" x14ac:dyDescent="0.25">
      <c r="J731" s="1"/>
    </row>
    <row r="732" spans="10:10" ht="12.5" x14ac:dyDescent="0.25">
      <c r="J732" s="1"/>
    </row>
    <row r="733" spans="10:10" ht="12.5" x14ac:dyDescent="0.25">
      <c r="J733" s="1"/>
    </row>
    <row r="734" spans="10:10" ht="12.5" x14ac:dyDescent="0.25">
      <c r="J734" s="1"/>
    </row>
    <row r="735" spans="10:10" ht="12.5" x14ac:dyDescent="0.25">
      <c r="J735" s="1"/>
    </row>
    <row r="736" spans="10:10" ht="12.5" x14ac:dyDescent="0.25">
      <c r="J736" s="1"/>
    </row>
    <row r="737" spans="10:10" ht="12.5" x14ac:dyDescent="0.25">
      <c r="J737" s="1"/>
    </row>
    <row r="738" spans="10:10" ht="12.5" x14ac:dyDescent="0.25">
      <c r="J738" s="1"/>
    </row>
    <row r="739" spans="10:10" ht="12.5" x14ac:dyDescent="0.25">
      <c r="J739" s="1"/>
    </row>
    <row r="740" spans="10:10" ht="12.5" x14ac:dyDescent="0.25">
      <c r="J740" s="1"/>
    </row>
    <row r="741" spans="10:10" ht="12.5" x14ac:dyDescent="0.25">
      <c r="J741" s="1"/>
    </row>
    <row r="742" spans="10:10" ht="12.5" x14ac:dyDescent="0.25">
      <c r="J742" s="1"/>
    </row>
    <row r="743" spans="10:10" ht="12.5" x14ac:dyDescent="0.25">
      <c r="J743" s="1"/>
    </row>
    <row r="744" spans="10:10" ht="12.5" x14ac:dyDescent="0.25">
      <c r="J744" s="1"/>
    </row>
    <row r="745" spans="10:10" ht="12.5" x14ac:dyDescent="0.25">
      <c r="J745" s="1"/>
    </row>
    <row r="746" spans="10:10" ht="12.5" x14ac:dyDescent="0.25">
      <c r="J746" s="1"/>
    </row>
    <row r="747" spans="10:10" ht="12.5" x14ac:dyDescent="0.25">
      <c r="J747" s="1"/>
    </row>
    <row r="748" spans="10:10" ht="12.5" x14ac:dyDescent="0.25">
      <c r="J748" s="1"/>
    </row>
    <row r="749" spans="10:10" ht="12.5" x14ac:dyDescent="0.25">
      <c r="J749" s="1"/>
    </row>
    <row r="750" spans="10:10" ht="12.5" x14ac:dyDescent="0.25">
      <c r="J750" s="1"/>
    </row>
    <row r="751" spans="10:10" ht="12.5" x14ac:dyDescent="0.25">
      <c r="J751" s="1"/>
    </row>
    <row r="752" spans="10:10" ht="12.5" x14ac:dyDescent="0.25">
      <c r="J752" s="1"/>
    </row>
    <row r="753" spans="10:10" ht="12.5" x14ac:dyDescent="0.25">
      <c r="J753" s="1"/>
    </row>
    <row r="754" spans="10:10" ht="12.5" x14ac:dyDescent="0.25">
      <c r="J754" s="1"/>
    </row>
    <row r="755" spans="10:10" ht="12.5" x14ac:dyDescent="0.25">
      <c r="J755" s="1"/>
    </row>
    <row r="756" spans="10:10" ht="12.5" x14ac:dyDescent="0.25">
      <c r="J756" s="1"/>
    </row>
    <row r="757" spans="10:10" ht="12.5" x14ac:dyDescent="0.25">
      <c r="J757" s="1"/>
    </row>
    <row r="758" spans="10:10" ht="12.5" x14ac:dyDescent="0.25">
      <c r="J758" s="1"/>
    </row>
    <row r="759" spans="10:10" ht="12.5" x14ac:dyDescent="0.25">
      <c r="J759" s="1"/>
    </row>
    <row r="760" spans="10:10" ht="12.5" x14ac:dyDescent="0.25">
      <c r="J760" s="1"/>
    </row>
    <row r="761" spans="10:10" ht="12.5" x14ac:dyDescent="0.25">
      <c r="J761" s="1"/>
    </row>
    <row r="762" spans="10:10" ht="12.5" x14ac:dyDescent="0.25">
      <c r="J762" s="1"/>
    </row>
    <row r="763" spans="10:10" ht="12.5" x14ac:dyDescent="0.25">
      <c r="J763" s="1"/>
    </row>
    <row r="764" spans="10:10" ht="12.5" x14ac:dyDescent="0.25">
      <c r="J764" s="1"/>
    </row>
    <row r="765" spans="10:10" ht="12.5" x14ac:dyDescent="0.25">
      <c r="J765" s="1"/>
    </row>
    <row r="766" spans="10:10" ht="12.5" x14ac:dyDescent="0.25">
      <c r="J766" s="1"/>
    </row>
    <row r="767" spans="10:10" ht="12.5" x14ac:dyDescent="0.25">
      <c r="J767" s="1"/>
    </row>
    <row r="768" spans="10:10" ht="12.5" x14ac:dyDescent="0.25">
      <c r="J768" s="1"/>
    </row>
    <row r="769" spans="10:10" ht="12.5" x14ac:dyDescent="0.25">
      <c r="J769" s="1"/>
    </row>
    <row r="770" spans="10:10" ht="12.5" x14ac:dyDescent="0.25">
      <c r="J770" s="1"/>
    </row>
    <row r="771" spans="10:10" ht="12.5" x14ac:dyDescent="0.25">
      <c r="J771" s="1"/>
    </row>
    <row r="772" spans="10:10" ht="12.5" x14ac:dyDescent="0.25">
      <c r="J772" s="1"/>
    </row>
    <row r="773" spans="10:10" ht="12.5" x14ac:dyDescent="0.25">
      <c r="J773" s="1"/>
    </row>
    <row r="774" spans="10:10" ht="12.5" x14ac:dyDescent="0.25">
      <c r="J774" s="1"/>
    </row>
    <row r="775" spans="10:10" ht="12.5" x14ac:dyDescent="0.25">
      <c r="J775" s="1"/>
    </row>
    <row r="776" spans="10:10" ht="12.5" x14ac:dyDescent="0.25">
      <c r="J776" s="1"/>
    </row>
    <row r="777" spans="10:10" ht="12.5" x14ac:dyDescent="0.25">
      <c r="J777" s="1"/>
    </row>
    <row r="778" spans="10:10" ht="12.5" x14ac:dyDescent="0.25">
      <c r="J778" s="1"/>
    </row>
    <row r="779" spans="10:10" ht="12.5" x14ac:dyDescent="0.25">
      <c r="J779" s="1"/>
    </row>
    <row r="780" spans="10:10" ht="12.5" x14ac:dyDescent="0.25">
      <c r="J780" s="1"/>
    </row>
    <row r="781" spans="10:10" ht="12.5" x14ac:dyDescent="0.25">
      <c r="J781" s="1"/>
    </row>
    <row r="782" spans="10:10" ht="12.5" x14ac:dyDescent="0.25">
      <c r="J782" s="1"/>
    </row>
    <row r="783" spans="10:10" ht="12.5" x14ac:dyDescent="0.25">
      <c r="J783" s="1"/>
    </row>
    <row r="784" spans="10:10" ht="12.5" x14ac:dyDescent="0.25">
      <c r="J784" s="1"/>
    </row>
    <row r="785" spans="10:10" ht="12.5" x14ac:dyDescent="0.25">
      <c r="J785" s="1"/>
    </row>
    <row r="786" spans="10:10" ht="12.5" x14ac:dyDescent="0.25">
      <c r="J786" s="1"/>
    </row>
    <row r="787" spans="10:10" ht="12.5" x14ac:dyDescent="0.25">
      <c r="J787" s="1"/>
    </row>
    <row r="788" spans="10:10" ht="12.5" x14ac:dyDescent="0.25">
      <c r="J788" s="1"/>
    </row>
    <row r="789" spans="10:10" ht="12.5" x14ac:dyDescent="0.25">
      <c r="J789" s="1"/>
    </row>
    <row r="790" spans="10:10" ht="12.5" x14ac:dyDescent="0.25">
      <c r="J790" s="1"/>
    </row>
    <row r="791" spans="10:10" ht="12.5" x14ac:dyDescent="0.25">
      <c r="J791" s="1"/>
    </row>
    <row r="792" spans="10:10" ht="12.5" x14ac:dyDescent="0.25">
      <c r="J792" s="1"/>
    </row>
    <row r="793" spans="10:10" ht="12.5" x14ac:dyDescent="0.25">
      <c r="J793" s="1"/>
    </row>
    <row r="794" spans="10:10" ht="12.5" x14ac:dyDescent="0.25">
      <c r="J794" s="1"/>
    </row>
    <row r="795" spans="10:10" ht="12.5" x14ac:dyDescent="0.25">
      <c r="J795" s="1"/>
    </row>
    <row r="796" spans="10:10" ht="12.5" x14ac:dyDescent="0.25">
      <c r="J796" s="1"/>
    </row>
    <row r="797" spans="10:10" ht="12.5" x14ac:dyDescent="0.25">
      <c r="J797" s="1"/>
    </row>
    <row r="798" spans="10:10" ht="12.5" x14ac:dyDescent="0.25">
      <c r="J798" s="1"/>
    </row>
    <row r="799" spans="10:10" ht="12.5" x14ac:dyDescent="0.25">
      <c r="J799" s="1"/>
    </row>
    <row r="800" spans="10:10" ht="12.5" x14ac:dyDescent="0.25">
      <c r="J800" s="1"/>
    </row>
    <row r="801" spans="10:10" ht="12.5" x14ac:dyDescent="0.25">
      <c r="J801" s="1"/>
    </row>
    <row r="802" spans="10:10" ht="12.5" x14ac:dyDescent="0.25">
      <c r="J802" s="1"/>
    </row>
    <row r="803" spans="10:10" ht="12.5" x14ac:dyDescent="0.25">
      <c r="J803" s="1"/>
    </row>
    <row r="804" spans="10:10" ht="12.5" x14ac:dyDescent="0.25">
      <c r="J804" s="1"/>
    </row>
    <row r="805" spans="10:10" ht="12.5" x14ac:dyDescent="0.25">
      <c r="J805" s="1"/>
    </row>
    <row r="806" spans="10:10" ht="12.5" x14ac:dyDescent="0.25">
      <c r="J806" s="1"/>
    </row>
    <row r="807" spans="10:10" ht="12.5" x14ac:dyDescent="0.25">
      <c r="J807" s="1"/>
    </row>
    <row r="808" spans="10:10" ht="12.5" x14ac:dyDescent="0.25">
      <c r="J808" s="1"/>
    </row>
    <row r="809" spans="10:10" ht="12.5" x14ac:dyDescent="0.25">
      <c r="J809" s="1"/>
    </row>
    <row r="810" spans="10:10" ht="12.5" x14ac:dyDescent="0.25">
      <c r="J810" s="1"/>
    </row>
    <row r="811" spans="10:10" ht="12.5" x14ac:dyDescent="0.25">
      <c r="J811" s="1"/>
    </row>
    <row r="812" spans="10:10" ht="12.5" x14ac:dyDescent="0.25">
      <c r="J812" s="1"/>
    </row>
    <row r="813" spans="10:10" ht="12.5" x14ac:dyDescent="0.25">
      <c r="J813" s="1"/>
    </row>
    <row r="814" spans="10:10" ht="12.5" x14ac:dyDescent="0.25">
      <c r="J814" s="1"/>
    </row>
    <row r="815" spans="10:10" ht="12.5" x14ac:dyDescent="0.25">
      <c r="J815" s="1"/>
    </row>
    <row r="816" spans="10:10" ht="12.5" x14ac:dyDescent="0.25">
      <c r="J816" s="1"/>
    </row>
    <row r="817" spans="10:10" ht="12.5" x14ac:dyDescent="0.25">
      <c r="J817" s="1"/>
    </row>
    <row r="818" spans="10:10" ht="12.5" x14ac:dyDescent="0.25">
      <c r="J818" s="1"/>
    </row>
    <row r="819" spans="10:10" ht="12.5" x14ac:dyDescent="0.25">
      <c r="J819" s="1"/>
    </row>
    <row r="820" spans="10:10" ht="12.5" x14ac:dyDescent="0.25">
      <c r="J820" s="1"/>
    </row>
    <row r="821" spans="10:10" ht="12.5" x14ac:dyDescent="0.25">
      <c r="J821" s="1"/>
    </row>
    <row r="822" spans="10:10" ht="12.5" x14ac:dyDescent="0.25">
      <c r="J822" s="1"/>
    </row>
    <row r="823" spans="10:10" ht="12.5" x14ac:dyDescent="0.25">
      <c r="J823" s="1"/>
    </row>
    <row r="824" spans="10:10" ht="12.5" x14ac:dyDescent="0.25">
      <c r="J824" s="1"/>
    </row>
    <row r="825" spans="10:10" ht="12.5" x14ac:dyDescent="0.25">
      <c r="J825" s="1"/>
    </row>
    <row r="826" spans="10:10" ht="12.5" x14ac:dyDescent="0.25">
      <c r="J826" s="1"/>
    </row>
    <row r="827" spans="10:10" ht="12.5" x14ac:dyDescent="0.25">
      <c r="J827" s="1"/>
    </row>
    <row r="828" spans="10:10" ht="12.5" x14ac:dyDescent="0.25">
      <c r="J828" s="1"/>
    </row>
    <row r="829" spans="10:10" ht="12.5" x14ac:dyDescent="0.25">
      <c r="J829" s="1"/>
    </row>
    <row r="830" spans="10:10" ht="12.5" x14ac:dyDescent="0.25">
      <c r="J830" s="1"/>
    </row>
    <row r="831" spans="10:10" ht="12.5" x14ac:dyDescent="0.25">
      <c r="J831" s="1"/>
    </row>
    <row r="832" spans="10:10" ht="12.5" x14ac:dyDescent="0.25">
      <c r="J832" s="1"/>
    </row>
    <row r="833" spans="10:10" ht="12.5" x14ac:dyDescent="0.25">
      <c r="J833" s="1"/>
    </row>
    <row r="834" spans="10:10" ht="12.5" x14ac:dyDescent="0.25">
      <c r="J834" s="1"/>
    </row>
    <row r="835" spans="10:10" ht="12.5" x14ac:dyDescent="0.25">
      <c r="J835" s="1"/>
    </row>
    <row r="836" spans="10:10" ht="12.5" x14ac:dyDescent="0.25">
      <c r="J836" s="1"/>
    </row>
    <row r="837" spans="10:10" ht="12.5" x14ac:dyDescent="0.25">
      <c r="J837" s="1"/>
    </row>
    <row r="838" spans="10:10" ht="12.5" x14ac:dyDescent="0.25">
      <c r="J838" s="1"/>
    </row>
    <row r="839" spans="10:10" ht="12.5" x14ac:dyDescent="0.25">
      <c r="J839" s="1"/>
    </row>
    <row r="840" spans="10:10" ht="12.5" x14ac:dyDescent="0.25">
      <c r="J840" s="1"/>
    </row>
    <row r="841" spans="10:10" ht="12.5" x14ac:dyDescent="0.25">
      <c r="J841" s="1"/>
    </row>
    <row r="842" spans="10:10" ht="12.5" x14ac:dyDescent="0.25">
      <c r="J842" s="1"/>
    </row>
    <row r="843" spans="10:10" ht="12.5" x14ac:dyDescent="0.25">
      <c r="J843" s="1"/>
    </row>
    <row r="844" spans="10:10" ht="12.5" x14ac:dyDescent="0.25">
      <c r="J844" s="1"/>
    </row>
    <row r="845" spans="10:10" ht="12.5" x14ac:dyDescent="0.25">
      <c r="J845" s="1"/>
    </row>
    <row r="846" spans="10:10" ht="12.5" x14ac:dyDescent="0.25">
      <c r="J846" s="1"/>
    </row>
    <row r="847" spans="10:10" ht="12.5" x14ac:dyDescent="0.25">
      <c r="J847" s="1"/>
    </row>
    <row r="848" spans="10:10" ht="12.5" x14ac:dyDescent="0.25">
      <c r="J848" s="1"/>
    </row>
    <row r="849" spans="10:10" ht="12.5" x14ac:dyDescent="0.25">
      <c r="J849" s="1"/>
    </row>
    <row r="850" spans="10:10" ht="12.5" x14ac:dyDescent="0.25">
      <c r="J850" s="1"/>
    </row>
    <row r="851" spans="10:10" ht="12.5" x14ac:dyDescent="0.25">
      <c r="J851" s="1"/>
    </row>
    <row r="852" spans="10:10" ht="12.5" x14ac:dyDescent="0.25">
      <c r="J852" s="1"/>
    </row>
    <row r="853" spans="10:10" ht="12.5" x14ac:dyDescent="0.25">
      <c r="J853" s="1"/>
    </row>
    <row r="854" spans="10:10" ht="12.5" x14ac:dyDescent="0.25">
      <c r="J854" s="1"/>
    </row>
    <row r="855" spans="10:10" ht="12.5" x14ac:dyDescent="0.25">
      <c r="J855" s="1"/>
    </row>
    <row r="856" spans="10:10" ht="12.5" x14ac:dyDescent="0.25">
      <c r="J856" s="1"/>
    </row>
    <row r="857" spans="10:10" ht="12.5" x14ac:dyDescent="0.25">
      <c r="J857" s="1"/>
    </row>
    <row r="858" spans="10:10" ht="12.5" x14ac:dyDescent="0.25">
      <c r="J858" s="1"/>
    </row>
    <row r="859" spans="10:10" ht="12.5" x14ac:dyDescent="0.25">
      <c r="J859" s="1"/>
    </row>
    <row r="860" spans="10:10" ht="12.5" x14ac:dyDescent="0.25">
      <c r="J860" s="1"/>
    </row>
    <row r="861" spans="10:10" ht="12.5" x14ac:dyDescent="0.25">
      <c r="J861" s="1"/>
    </row>
    <row r="862" spans="10:10" ht="12.5" x14ac:dyDescent="0.25">
      <c r="J862" s="1"/>
    </row>
    <row r="863" spans="10:10" ht="12.5" x14ac:dyDescent="0.25">
      <c r="J863" s="1"/>
    </row>
    <row r="864" spans="10:10" ht="12.5" x14ac:dyDescent="0.25">
      <c r="J864" s="1"/>
    </row>
    <row r="865" spans="10:10" ht="12.5" x14ac:dyDescent="0.25">
      <c r="J865" s="1"/>
    </row>
    <row r="866" spans="10:10" ht="12.5" x14ac:dyDescent="0.25">
      <c r="J866" s="1"/>
    </row>
    <row r="867" spans="10:10" ht="12.5" x14ac:dyDescent="0.25">
      <c r="J867" s="1"/>
    </row>
    <row r="868" spans="10:10" ht="12.5" x14ac:dyDescent="0.25">
      <c r="J868" s="1"/>
    </row>
    <row r="869" spans="10:10" ht="12.5" x14ac:dyDescent="0.25">
      <c r="J869" s="1"/>
    </row>
    <row r="870" spans="10:10" ht="12.5" x14ac:dyDescent="0.25">
      <c r="J870" s="1"/>
    </row>
    <row r="871" spans="10:10" ht="12.5" x14ac:dyDescent="0.25">
      <c r="J871" s="1"/>
    </row>
    <row r="872" spans="10:10" ht="12.5" x14ac:dyDescent="0.25">
      <c r="J872" s="1"/>
    </row>
    <row r="873" spans="10:10" ht="12.5" x14ac:dyDescent="0.25">
      <c r="J873" s="1"/>
    </row>
    <row r="874" spans="10:10" ht="12.5" x14ac:dyDescent="0.25">
      <c r="J874" s="1"/>
    </row>
    <row r="875" spans="10:10" ht="12.5" x14ac:dyDescent="0.25">
      <c r="J875" s="1"/>
    </row>
    <row r="876" spans="10:10" ht="12.5" x14ac:dyDescent="0.25">
      <c r="J876" s="1"/>
    </row>
    <row r="877" spans="10:10" ht="12.5" x14ac:dyDescent="0.25">
      <c r="J877" s="1"/>
    </row>
    <row r="878" spans="10:10" ht="12.5" x14ac:dyDescent="0.25">
      <c r="J878" s="1"/>
    </row>
    <row r="879" spans="10:10" ht="12.5" x14ac:dyDescent="0.25">
      <c r="J879" s="1"/>
    </row>
    <row r="880" spans="10:10" ht="12.5" x14ac:dyDescent="0.25">
      <c r="J880" s="1"/>
    </row>
    <row r="881" spans="10:10" ht="12.5" x14ac:dyDescent="0.25">
      <c r="J881" s="1"/>
    </row>
    <row r="882" spans="10:10" ht="12.5" x14ac:dyDescent="0.25">
      <c r="J882" s="1"/>
    </row>
    <row r="883" spans="10:10" ht="12.5" x14ac:dyDescent="0.25">
      <c r="J883" s="1"/>
    </row>
    <row r="884" spans="10:10" ht="12.5" x14ac:dyDescent="0.25">
      <c r="J884" s="1"/>
    </row>
    <row r="885" spans="10:10" ht="12.5" x14ac:dyDescent="0.25">
      <c r="J885" s="1"/>
    </row>
    <row r="886" spans="10:10" ht="12.5" x14ac:dyDescent="0.25">
      <c r="J886" s="1"/>
    </row>
    <row r="887" spans="10:10" ht="12.5" x14ac:dyDescent="0.25">
      <c r="J887" s="1"/>
    </row>
    <row r="888" spans="10:10" ht="12.5" x14ac:dyDescent="0.25">
      <c r="J888" s="1"/>
    </row>
    <row r="889" spans="10:10" ht="12.5" x14ac:dyDescent="0.25">
      <c r="J889" s="1"/>
    </row>
    <row r="890" spans="10:10" ht="12.5" x14ac:dyDescent="0.25">
      <c r="J890" s="1"/>
    </row>
    <row r="891" spans="10:10" ht="12.5" x14ac:dyDescent="0.25">
      <c r="J891" s="1"/>
    </row>
    <row r="892" spans="10:10" ht="12.5" x14ac:dyDescent="0.25">
      <c r="J892" s="1"/>
    </row>
    <row r="893" spans="10:10" ht="12.5" x14ac:dyDescent="0.25">
      <c r="J893" s="1"/>
    </row>
    <row r="894" spans="10:10" ht="12.5" x14ac:dyDescent="0.25">
      <c r="J894" s="1"/>
    </row>
    <row r="895" spans="10:10" ht="12.5" x14ac:dyDescent="0.25">
      <c r="J895" s="1"/>
    </row>
    <row r="896" spans="10:10" ht="12.5" x14ac:dyDescent="0.25">
      <c r="J896" s="1"/>
    </row>
    <row r="897" spans="10:10" ht="12.5" x14ac:dyDescent="0.25">
      <c r="J897" s="1"/>
    </row>
    <row r="898" spans="10:10" ht="12.5" x14ac:dyDescent="0.25">
      <c r="J898" s="1"/>
    </row>
    <row r="899" spans="10:10" ht="12.5" x14ac:dyDescent="0.25">
      <c r="J899" s="1"/>
    </row>
    <row r="900" spans="10:10" ht="12.5" x14ac:dyDescent="0.25">
      <c r="J900" s="1"/>
    </row>
    <row r="901" spans="10:10" ht="12.5" x14ac:dyDescent="0.25">
      <c r="J901" s="1"/>
    </row>
    <row r="902" spans="10:10" ht="12.5" x14ac:dyDescent="0.25">
      <c r="J902" s="1"/>
    </row>
    <row r="903" spans="10:10" ht="12.5" x14ac:dyDescent="0.25">
      <c r="J903" s="1"/>
    </row>
    <row r="904" spans="10:10" ht="12.5" x14ac:dyDescent="0.25">
      <c r="J904" s="1"/>
    </row>
    <row r="905" spans="10:10" ht="12.5" x14ac:dyDescent="0.25">
      <c r="J905" s="1"/>
    </row>
    <row r="906" spans="10:10" ht="12.5" x14ac:dyDescent="0.25">
      <c r="J906" s="1"/>
    </row>
    <row r="907" spans="10:10" ht="12.5" x14ac:dyDescent="0.25">
      <c r="J907" s="1"/>
    </row>
    <row r="908" spans="10:10" ht="12.5" x14ac:dyDescent="0.25">
      <c r="J908" s="1"/>
    </row>
    <row r="909" spans="10:10" ht="12.5" x14ac:dyDescent="0.25">
      <c r="J909" s="1"/>
    </row>
    <row r="910" spans="10:10" ht="12.5" x14ac:dyDescent="0.25">
      <c r="J910" s="1"/>
    </row>
    <row r="911" spans="10:10" ht="12.5" x14ac:dyDescent="0.25">
      <c r="J911" s="1"/>
    </row>
    <row r="912" spans="10:10" ht="12.5" x14ac:dyDescent="0.25">
      <c r="J912" s="1"/>
    </row>
    <row r="913" spans="10:10" ht="12.5" x14ac:dyDescent="0.25">
      <c r="J913" s="1"/>
    </row>
    <row r="914" spans="10:10" ht="12.5" x14ac:dyDescent="0.25">
      <c r="J914" s="1"/>
    </row>
    <row r="915" spans="10:10" ht="12.5" x14ac:dyDescent="0.25">
      <c r="J915" s="1"/>
    </row>
    <row r="916" spans="10:10" ht="12.5" x14ac:dyDescent="0.25">
      <c r="J916" s="1"/>
    </row>
    <row r="917" spans="10:10" ht="12.5" x14ac:dyDescent="0.25">
      <c r="J917" s="1"/>
    </row>
    <row r="918" spans="10:10" ht="12.5" x14ac:dyDescent="0.25">
      <c r="J918" s="1"/>
    </row>
    <row r="919" spans="10:10" ht="12.5" x14ac:dyDescent="0.25">
      <c r="J919" s="1"/>
    </row>
    <row r="920" spans="10:10" ht="12.5" x14ac:dyDescent="0.25">
      <c r="J920" s="1"/>
    </row>
    <row r="921" spans="10:10" ht="12.5" x14ac:dyDescent="0.25">
      <c r="J921" s="1"/>
    </row>
    <row r="922" spans="10:10" ht="12.5" x14ac:dyDescent="0.25">
      <c r="J922" s="1"/>
    </row>
    <row r="923" spans="10:10" ht="12.5" x14ac:dyDescent="0.25">
      <c r="J923" s="1"/>
    </row>
    <row r="924" spans="10:10" ht="12.5" x14ac:dyDescent="0.25">
      <c r="J924" s="1"/>
    </row>
    <row r="925" spans="10:10" ht="12.5" x14ac:dyDescent="0.25">
      <c r="J925" s="1"/>
    </row>
    <row r="926" spans="10:10" ht="12.5" x14ac:dyDescent="0.25">
      <c r="J926" s="1"/>
    </row>
    <row r="927" spans="10:10" ht="12.5" x14ac:dyDescent="0.25">
      <c r="J927" s="1"/>
    </row>
    <row r="928" spans="10:10" ht="12.5" x14ac:dyDescent="0.25">
      <c r="J928" s="1"/>
    </row>
    <row r="929" spans="10:10" ht="12.5" x14ac:dyDescent="0.25">
      <c r="J929" s="1"/>
    </row>
    <row r="930" spans="10:10" ht="12.5" x14ac:dyDescent="0.25">
      <c r="J930" s="1"/>
    </row>
    <row r="931" spans="10:10" ht="12.5" x14ac:dyDescent="0.25">
      <c r="J931" s="1"/>
    </row>
    <row r="932" spans="10:10" ht="12.5" x14ac:dyDescent="0.25">
      <c r="J932" s="1"/>
    </row>
    <row r="933" spans="10:10" ht="12.5" x14ac:dyDescent="0.25">
      <c r="J933" s="1"/>
    </row>
    <row r="934" spans="10:10" ht="12.5" x14ac:dyDescent="0.25">
      <c r="J934" s="1"/>
    </row>
    <row r="935" spans="10:10" ht="12.5" x14ac:dyDescent="0.25">
      <c r="J935" s="1"/>
    </row>
    <row r="936" spans="10:10" ht="12.5" x14ac:dyDescent="0.25">
      <c r="J936" s="1"/>
    </row>
    <row r="937" spans="10:10" ht="12.5" x14ac:dyDescent="0.25">
      <c r="J937" s="1"/>
    </row>
    <row r="938" spans="10:10" ht="12.5" x14ac:dyDescent="0.25">
      <c r="J938" s="1"/>
    </row>
    <row r="939" spans="10:10" ht="12.5" x14ac:dyDescent="0.25">
      <c r="J939" s="1"/>
    </row>
    <row r="940" spans="10:10" ht="12.5" x14ac:dyDescent="0.25">
      <c r="J940" s="1"/>
    </row>
    <row r="941" spans="10:10" ht="12.5" x14ac:dyDescent="0.25">
      <c r="J941" s="1"/>
    </row>
    <row r="942" spans="10:10" ht="12.5" x14ac:dyDescent="0.25">
      <c r="J942" s="1"/>
    </row>
    <row r="943" spans="10:10" ht="12.5" x14ac:dyDescent="0.25">
      <c r="J943" s="1"/>
    </row>
    <row r="944" spans="10:10" ht="12.5" x14ac:dyDescent="0.25">
      <c r="J944" s="1"/>
    </row>
    <row r="945" spans="10:10" ht="12.5" x14ac:dyDescent="0.25">
      <c r="J945" s="1"/>
    </row>
    <row r="946" spans="10:10" ht="12.5" x14ac:dyDescent="0.25">
      <c r="J946" s="1"/>
    </row>
    <row r="947" spans="10:10" ht="12.5" x14ac:dyDescent="0.25">
      <c r="J947" s="1"/>
    </row>
    <row r="948" spans="10:10" ht="12.5" x14ac:dyDescent="0.25">
      <c r="J948" s="1"/>
    </row>
    <row r="949" spans="10:10" ht="12.5" x14ac:dyDescent="0.25">
      <c r="J949" s="1"/>
    </row>
    <row r="950" spans="10:10" ht="12.5" x14ac:dyDescent="0.25">
      <c r="J950" s="1"/>
    </row>
    <row r="951" spans="10:10" ht="12.5" x14ac:dyDescent="0.25">
      <c r="J951" s="1"/>
    </row>
    <row r="952" spans="10:10" ht="12.5" x14ac:dyDescent="0.25">
      <c r="J952" s="1"/>
    </row>
    <row r="953" spans="10:10" ht="12.5" x14ac:dyDescent="0.25">
      <c r="J953" s="1"/>
    </row>
    <row r="954" spans="10:10" ht="12.5" x14ac:dyDescent="0.25">
      <c r="J954" s="1"/>
    </row>
    <row r="955" spans="10:10" ht="12.5" x14ac:dyDescent="0.25">
      <c r="J955" s="1"/>
    </row>
    <row r="956" spans="10:10" ht="12.5" x14ac:dyDescent="0.25">
      <c r="J956" s="1"/>
    </row>
    <row r="957" spans="10:10" ht="12.5" x14ac:dyDescent="0.25">
      <c r="J957" s="1"/>
    </row>
    <row r="958" spans="10:10" ht="12.5" x14ac:dyDescent="0.25">
      <c r="J958" s="1"/>
    </row>
    <row r="959" spans="10:10" ht="12.5" x14ac:dyDescent="0.25">
      <c r="J959" s="1"/>
    </row>
    <row r="960" spans="10:10" ht="12.5" x14ac:dyDescent="0.25">
      <c r="J960" s="1"/>
    </row>
    <row r="961" spans="10:10" ht="12.5" x14ac:dyDescent="0.25">
      <c r="J961" s="1"/>
    </row>
    <row r="962" spans="10:10" ht="12.5" x14ac:dyDescent="0.25">
      <c r="J962" s="1"/>
    </row>
    <row r="963" spans="10:10" ht="12.5" x14ac:dyDescent="0.25">
      <c r="J963" s="1"/>
    </row>
    <row r="964" spans="10:10" ht="12.5" x14ac:dyDescent="0.25">
      <c r="J964" s="1"/>
    </row>
    <row r="965" spans="10:10" ht="12.5" x14ac:dyDescent="0.25">
      <c r="J965" s="1"/>
    </row>
    <row r="966" spans="10:10" ht="12.5" x14ac:dyDescent="0.25">
      <c r="J966" s="1"/>
    </row>
    <row r="967" spans="10:10" ht="12.5" x14ac:dyDescent="0.25">
      <c r="J967" s="1"/>
    </row>
    <row r="968" spans="10:10" ht="12.5" x14ac:dyDescent="0.25">
      <c r="J968" s="1"/>
    </row>
    <row r="969" spans="10:10" ht="12.5" x14ac:dyDescent="0.25">
      <c r="J969" s="1"/>
    </row>
    <row r="970" spans="10:10" ht="12.5" x14ac:dyDescent="0.25">
      <c r="J970" s="1"/>
    </row>
    <row r="971" spans="10:10" ht="12.5" x14ac:dyDescent="0.25">
      <c r="J971" s="1"/>
    </row>
    <row r="972" spans="10:10" ht="12.5" x14ac:dyDescent="0.25">
      <c r="J972" s="1"/>
    </row>
    <row r="973" spans="10:10" ht="12.5" x14ac:dyDescent="0.25">
      <c r="J973" s="1"/>
    </row>
    <row r="974" spans="10:10" ht="12.5" x14ac:dyDescent="0.25">
      <c r="J974" s="1"/>
    </row>
    <row r="975" spans="10:10" ht="12.5" x14ac:dyDescent="0.25">
      <c r="J975" s="1"/>
    </row>
    <row r="976" spans="10:10" ht="12.5" x14ac:dyDescent="0.25">
      <c r="J976" s="1"/>
    </row>
    <row r="977" spans="10:10" ht="12.5" x14ac:dyDescent="0.25">
      <c r="J977" s="1"/>
    </row>
    <row r="978" spans="10:10" ht="12.5" x14ac:dyDescent="0.25">
      <c r="J978" s="1"/>
    </row>
    <row r="979" spans="10:10" ht="12.5" x14ac:dyDescent="0.25">
      <c r="J979" s="1"/>
    </row>
    <row r="980" spans="10:10" ht="12.5" x14ac:dyDescent="0.25">
      <c r="J980" s="1"/>
    </row>
    <row r="981" spans="10:10" ht="12.5" x14ac:dyDescent="0.25">
      <c r="J981" s="1"/>
    </row>
    <row r="982" spans="10:10" ht="12.5" x14ac:dyDescent="0.25">
      <c r="J982" s="1"/>
    </row>
    <row r="983" spans="10:10" ht="12.5" x14ac:dyDescent="0.25">
      <c r="J983" s="1"/>
    </row>
    <row r="984" spans="10:10" ht="12.5" x14ac:dyDescent="0.25">
      <c r="J984" s="1"/>
    </row>
    <row r="985" spans="10:10" ht="12.5" x14ac:dyDescent="0.25">
      <c r="J985" s="1"/>
    </row>
    <row r="986" spans="10:10" ht="12.5" x14ac:dyDescent="0.25">
      <c r="J986" s="1"/>
    </row>
    <row r="987" spans="10:10" ht="12.5" x14ac:dyDescent="0.25">
      <c r="J987" s="1"/>
    </row>
    <row r="988" spans="10:10" ht="12.5" x14ac:dyDescent="0.25">
      <c r="J988" s="1"/>
    </row>
    <row r="989" spans="10:10" ht="12.5" x14ac:dyDescent="0.25">
      <c r="J989" s="1"/>
    </row>
    <row r="990" spans="10:10" ht="12.5" x14ac:dyDescent="0.25">
      <c r="J990" s="1"/>
    </row>
    <row r="991" spans="10:10" ht="12.5" x14ac:dyDescent="0.25">
      <c r="J991" s="1"/>
    </row>
    <row r="992" spans="10:10" ht="12.5" x14ac:dyDescent="0.25">
      <c r="J992" s="1"/>
    </row>
    <row r="993" spans="10:10" ht="12.5" x14ac:dyDescent="0.25">
      <c r="J993" s="1"/>
    </row>
    <row r="994" spans="10:10" ht="12.5" x14ac:dyDescent="0.25">
      <c r="J994" s="1"/>
    </row>
    <row r="995" spans="10:10" ht="12.5" x14ac:dyDescent="0.25">
      <c r="J995" s="1"/>
    </row>
    <row r="996" spans="10:10" ht="12.5" x14ac:dyDescent="0.25">
      <c r="J996" s="1"/>
    </row>
    <row r="997" spans="10:10" ht="12.5" x14ac:dyDescent="0.25">
      <c r="J997" s="1"/>
    </row>
    <row r="998" spans="10:10" ht="12.5" x14ac:dyDescent="0.25">
      <c r="J998" s="1"/>
    </row>
    <row r="999" spans="10:10" ht="12.5" x14ac:dyDescent="0.25">
      <c r="J999" s="1"/>
    </row>
    <row r="1000" spans="10:10" ht="12.5" x14ac:dyDescent="0.25">
      <c r="J1000" s="1"/>
    </row>
    <row r="1001" spans="10:10" ht="12.5" x14ac:dyDescent="0.25">
      <c r="J1001" s="1"/>
    </row>
    <row r="1002" spans="10:10" ht="12.5" x14ac:dyDescent="0.25">
      <c r="J1002" s="1"/>
    </row>
    <row r="1003" spans="10:10" ht="12.5" x14ac:dyDescent="0.25">
      <c r="J1003" s="1"/>
    </row>
    <row r="1004" spans="10:10" ht="12.5" x14ac:dyDescent="0.25">
      <c r="J100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75956-1BC1-4F62-902D-FCAF112C005C}">
  <dimension ref="A1:G48"/>
  <sheetViews>
    <sheetView topLeftCell="A4" workbookViewId="0">
      <selection activeCell="C7" sqref="C7"/>
    </sheetView>
  </sheetViews>
  <sheetFormatPr defaultRowHeight="12.5" x14ac:dyDescent="0.25"/>
  <cols>
    <col min="1" max="1" width="12.6328125"/>
    <col min="2" max="2" width="27.81640625" customWidth="1"/>
    <col min="3" max="3" width="23.36328125" customWidth="1"/>
    <col min="5" max="5" width="16.6328125" bestFit="1" customWidth="1"/>
    <col min="6" max="6" width="15.81640625" bestFit="1" customWidth="1"/>
  </cols>
  <sheetData>
    <row r="1" spans="1:7" ht="14.5" x14ac:dyDescent="0.35">
      <c r="A1" s="3" t="s">
        <v>2</v>
      </c>
      <c r="B1" s="4" t="s">
        <v>147</v>
      </c>
      <c r="C1" s="4" t="s">
        <v>148</v>
      </c>
      <c r="E1" t="s">
        <v>155</v>
      </c>
      <c r="F1" t="s">
        <v>156</v>
      </c>
    </row>
    <row r="2" spans="1:7" ht="14.5" x14ac:dyDescent="0.35">
      <c r="A2" s="6">
        <v>234798</v>
      </c>
      <c r="B2" s="27">
        <v>44742.943749999999</v>
      </c>
      <c r="C2" s="27">
        <v>44839.456250000003</v>
      </c>
      <c r="D2">
        <f>C2-B2</f>
        <v>96.512500000004366</v>
      </c>
      <c r="E2" s="44">
        <v>44742.943749999999</v>
      </c>
      <c r="F2" s="44">
        <v>44834.102083333331</v>
      </c>
      <c r="G2">
        <v>-5.3537962959999996</v>
      </c>
    </row>
    <row r="3" spans="1:7" ht="14.5" x14ac:dyDescent="0.35">
      <c r="A3" s="6">
        <v>234800</v>
      </c>
      <c r="B3" s="27">
        <v>44742.803472222222</v>
      </c>
      <c r="C3" s="27">
        <v>44778.502245370371</v>
      </c>
      <c r="D3">
        <f t="shared" ref="D3:D21" si="0">C3-B3</f>
        <v>35.698773148149485</v>
      </c>
      <c r="E3" s="44">
        <v>44742.803472222222</v>
      </c>
      <c r="F3" s="44">
        <v>44778.668749999997</v>
      </c>
      <c r="G3">
        <v>0.16666666699999999</v>
      </c>
    </row>
    <row r="4" spans="1:7" ht="14.5" x14ac:dyDescent="0.35">
      <c r="A4" s="6">
        <v>234801</v>
      </c>
      <c r="B4" s="27">
        <v>44745.638888888891</v>
      </c>
      <c r="C4" s="27">
        <v>44763.304386574076</v>
      </c>
      <c r="D4">
        <f t="shared" si="0"/>
        <v>17.665497685185983</v>
      </c>
      <c r="E4" s="44">
        <v>44745.638888888891</v>
      </c>
      <c r="F4" s="44">
        <v>44763.470833333333</v>
      </c>
      <c r="G4">
        <v>0.166655093</v>
      </c>
    </row>
    <row r="5" spans="1:7" ht="14.5" x14ac:dyDescent="0.35">
      <c r="A5" s="6">
        <v>234802</v>
      </c>
      <c r="B5" s="27">
        <v>44746.620138888888</v>
      </c>
      <c r="C5" s="27">
        <v>44780.423310185186</v>
      </c>
      <c r="D5">
        <f t="shared" si="0"/>
        <v>33.803171296298387</v>
      </c>
      <c r="E5" s="44">
        <v>44749.579861111109</v>
      </c>
      <c r="F5" s="44">
        <v>44780.589583333334</v>
      </c>
      <c r="G5">
        <v>0.166655093</v>
      </c>
    </row>
    <row r="6" spans="1:7" ht="14.5" x14ac:dyDescent="0.35">
      <c r="A6" s="6">
        <v>234803</v>
      </c>
      <c r="B6" s="27">
        <v>44745.588888888888</v>
      </c>
      <c r="C6" s="27">
        <v>44766.534930555557</v>
      </c>
      <c r="D6">
        <f t="shared" si="0"/>
        <v>20.946041666669771</v>
      </c>
      <c r="E6" s="44">
        <v>44745.588888888888</v>
      </c>
      <c r="F6" s="44">
        <v>44766.701388888891</v>
      </c>
      <c r="G6">
        <v>0.16677083300000001</v>
      </c>
    </row>
    <row r="7" spans="1:7" ht="14.5" x14ac:dyDescent="0.35">
      <c r="A7" s="6">
        <v>234804</v>
      </c>
      <c r="B7" s="27">
        <v>44745.61041666667</v>
      </c>
      <c r="C7" s="27">
        <v>44775.852187500001</v>
      </c>
      <c r="D7">
        <f t="shared" si="0"/>
        <v>30.24177083333052</v>
      </c>
      <c r="E7" s="44">
        <v>44745.61041666667</v>
      </c>
      <c r="F7" s="44">
        <v>44753.095833333333</v>
      </c>
      <c r="G7">
        <v>-22.755752309999998</v>
      </c>
    </row>
    <row r="8" spans="1:7" ht="15" thickBot="1" x14ac:dyDescent="0.4">
      <c r="A8" s="19">
        <v>234805</v>
      </c>
      <c r="B8" s="28">
        <v>44746.636111111111</v>
      </c>
      <c r="C8" s="28">
        <v>44780.23265046296</v>
      </c>
      <c r="D8">
        <f t="shared" si="0"/>
        <v>33.59653935184906</v>
      </c>
      <c r="E8" s="44">
        <v>44746.636111111111</v>
      </c>
      <c r="F8" s="44">
        <v>44780.399305555555</v>
      </c>
      <c r="G8">
        <v>0.16724537</v>
      </c>
    </row>
    <row r="9" spans="1:7" ht="14.5" x14ac:dyDescent="0.35">
      <c r="A9" s="6">
        <v>243055</v>
      </c>
      <c r="B9" s="27">
        <v>45132.623611111114</v>
      </c>
      <c r="C9" s="27">
        <v>45143.985879629632</v>
      </c>
      <c r="D9">
        <f t="shared" si="0"/>
        <v>11.362268518518249</v>
      </c>
      <c r="E9" s="44">
        <v>45132.623611111114</v>
      </c>
      <c r="F9" s="44">
        <v>45144.152083333334</v>
      </c>
      <c r="G9">
        <v>0.16666666699999999</v>
      </c>
    </row>
    <row r="10" spans="1:7" ht="14.5" x14ac:dyDescent="0.35">
      <c r="A10" s="6">
        <v>243058</v>
      </c>
      <c r="B10" s="27">
        <v>45132.647222222222</v>
      </c>
      <c r="C10" s="27">
        <v>45147.47550925926</v>
      </c>
      <c r="D10">
        <f t="shared" si="0"/>
        <v>14.828287037038535</v>
      </c>
      <c r="E10" s="44">
        <v>45132.647222222222</v>
      </c>
      <c r="F10" s="44">
        <v>45147.64166666667</v>
      </c>
      <c r="G10">
        <v>0.16666666699999999</v>
      </c>
    </row>
    <row r="11" spans="1:7" ht="14.5" x14ac:dyDescent="0.35">
      <c r="A11" s="6">
        <v>243065</v>
      </c>
      <c r="B11" s="27">
        <v>45132.688194444447</v>
      </c>
      <c r="C11" s="27">
        <v>45150.413437499999</v>
      </c>
      <c r="D11">
        <f t="shared" si="0"/>
        <v>17.72524305555271</v>
      </c>
      <c r="E11" s="44">
        <v>45132.688194444447</v>
      </c>
      <c r="F11" s="44">
        <v>45150.579861111109</v>
      </c>
      <c r="G11">
        <v>0.16666666699999999</v>
      </c>
    </row>
    <row r="12" spans="1:7" ht="14.5" x14ac:dyDescent="0.35">
      <c r="A12" s="6">
        <v>243052</v>
      </c>
      <c r="B12" s="27">
        <v>45132.713888888888</v>
      </c>
      <c r="C12" s="27">
        <v>45135.56759259259</v>
      </c>
      <c r="D12">
        <f t="shared" si="0"/>
        <v>2.8537037037021946</v>
      </c>
      <c r="E12" s="44">
        <v>45132.713888888888</v>
      </c>
      <c r="F12" s="44">
        <v>45135.734027777777</v>
      </c>
      <c r="G12">
        <v>0.16666666699999999</v>
      </c>
    </row>
    <row r="13" spans="1:7" ht="14.5" x14ac:dyDescent="0.35">
      <c r="A13" s="6">
        <v>243062</v>
      </c>
      <c r="B13" s="27">
        <v>45148.632638888892</v>
      </c>
      <c r="C13" s="27">
        <v>45163.382928240739</v>
      </c>
      <c r="D13">
        <f t="shared" si="0"/>
        <v>14.750289351846732</v>
      </c>
      <c r="E13" s="44">
        <v>45148.632638888892</v>
      </c>
      <c r="F13" s="44">
        <v>45163.549305555556</v>
      </c>
      <c r="G13">
        <v>0.16666666699999999</v>
      </c>
    </row>
    <row r="14" spans="1:7" ht="15" thickBot="1" x14ac:dyDescent="0.4">
      <c r="A14" s="19">
        <v>243064</v>
      </c>
      <c r="B14" s="28">
        <v>45211.598611111112</v>
      </c>
      <c r="C14" s="28">
        <v>45212.489062499997</v>
      </c>
      <c r="D14">
        <f t="shared" si="0"/>
        <v>0.890451388884685</v>
      </c>
    </row>
    <row r="15" spans="1:7" ht="14.5" x14ac:dyDescent="0.35">
      <c r="A15" s="6">
        <v>243061</v>
      </c>
      <c r="B15" s="27">
        <v>45465.611805555556</v>
      </c>
      <c r="C15" s="27">
        <v>45492.749710648146</v>
      </c>
      <c r="D15">
        <f t="shared" si="0"/>
        <v>27.13790509258979</v>
      </c>
      <c r="E15" s="44">
        <v>45465.611805555556</v>
      </c>
      <c r="F15" s="44">
        <v>45492.749305555553</v>
      </c>
      <c r="G15">
        <v>0</v>
      </c>
    </row>
    <row r="16" spans="1:7" ht="14.5" x14ac:dyDescent="0.35">
      <c r="A16" s="6">
        <v>243053</v>
      </c>
      <c r="B16" s="27">
        <v>45495.679861111108</v>
      </c>
      <c r="C16" s="27">
        <v>45555.473425925928</v>
      </c>
      <c r="D16">
        <f t="shared" si="0"/>
        <v>59.793564814819547</v>
      </c>
      <c r="E16" s="44">
        <v>45495.679861111108</v>
      </c>
      <c r="F16" s="44">
        <v>45555.472916666666</v>
      </c>
      <c r="G16">
        <v>0</v>
      </c>
    </row>
    <row r="17" spans="1:7" ht="14.5" x14ac:dyDescent="0.35">
      <c r="A17" s="6">
        <v>243056</v>
      </c>
      <c r="B17" s="27">
        <v>45500.754861111112</v>
      </c>
      <c r="C17" s="27">
        <v>45533.434421296297</v>
      </c>
      <c r="D17">
        <f t="shared" si="0"/>
        <v>32.679560185184528</v>
      </c>
      <c r="E17" s="44">
        <v>45500.754861111112</v>
      </c>
      <c r="F17" s="44">
        <v>45533.434027777781</v>
      </c>
      <c r="G17">
        <v>0</v>
      </c>
    </row>
    <row r="18" spans="1:7" ht="14.5" x14ac:dyDescent="0.35">
      <c r="A18" s="6">
        <v>243060</v>
      </c>
      <c r="B18" s="27">
        <v>45506.660416666666</v>
      </c>
      <c r="C18" s="27">
        <v>45509.190439814818</v>
      </c>
      <c r="D18">
        <f t="shared" si="0"/>
        <v>2.5300231481523952</v>
      </c>
      <c r="E18" s="44">
        <v>45506.660416666666</v>
      </c>
      <c r="F18" s="44">
        <v>45509.19027777778</v>
      </c>
      <c r="G18">
        <v>0</v>
      </c>
    </row>
    <row r="19" spans="1:7" ht="14.5" x14ac:dyDescent="0.35">
      <c r="A19" s="6">
        <v>267425</v>
      </c>
      <c r="B19" s="27">
        <v>45512.729861111111</v>
      </c>
      <c r="C19" s="27">
        <v>45555.981585648151</v>
      </c>
      <c r="D19">
        <f t="shared" si="0"/>
        <v>43.251724537039991</v>
      </c>
      <c r="E19" s="44">
        <v>45512.729861111111</v>
      </c>
      <c r="F19" s="44">
        <v>45555.981249999997</v>
      </c>
      <c r="G19">
        <v>0</v>
      </c>
    </row>
    <row r="20" spans="1:7" ht="14.5" x14ac:dyDescent="0.35">
      <c r="A20" s="6">
        <v>267426</v>
      </c>
      <c r="B20" s="27">
        <v>45512.877083333333</v>
      </c>
      <c r="C20" s="27">
        <v>45539.005173611113</v>
      </c>
      <c r="D20">
        <f t="shared" si="0"/>
        <v>26.128090277779847</v>
      </c>
      <c r="E20" s="44">
        <v>45512.877083333333</v>
      </c>
      <c r="F20" s="44">
        <v>45539.004861111112</v>
      </c>
      <c r="G20">
        <v>0</v>
      </c>
    </row>
    <row r="21" spans="1:7" ht="14.5" x14ac:dyDescent="0.35">
      <c r="A21" s="6">
        <v>243067</v>
      </c>
      <c r="B21" s="27">
        <v>45551.785416666666</v>
      </c>
      <c r="C21" s="27">
        <v>45572.870682870373</v>
      </c>
      <c r="D21">
        <f t="shared" si="0"/>
        <v>21.085266203706851</v>
      </c>
      <c r="E21" s="44">
        <v>45551.785416666666</v>
      </c>
      <c r="F21" s="44">
        <v>45572.870138888888</v>
      </c>
      <c r="G21">
        <v>0</v>
      </c>
    </row>
    <row r="22" spans="1:7" ht="13" x14ac:dyDescent="0.3">
      <c r="A22" s="10"/>
      <c r="B22" s="10"/>
      <c r="C22" s="10"/>
    </row>
    <row r="23" spans="1:7" ht="13" x14ac:dyDescent="0.3">
      <c r="A23" s="10"/>
      <c r="B23" s="10"/>
      <c r="C23" s="10"/>
    </row>
    <row r="24" spans="1:7" ht="13" x14ac:dyDescent="0.3">
      <c r="A24" s="10"/>
      <c r="B24" s="10"/>
      <c r="C24" s="10"/>
    </row>
    <row r="25" spans="1:7" ht="13" x14ac:dyDescent="0.3">
      <c r="A25" s="10"/>
      <c r="B25" s="10"/>
      <c r="C25" s="10"/>
    </row>
    <row r="26" spans="1:7" ht="13" x14ac:dyDescent="0.3">
      <c r="A26" s="10"/>
      <c r="B26" s="10"/>
      <c r="C26" s="10"/>
    </row>
    <row r="27" spans="1:7" ht="13" x14ac:dyDescent="0.3">
      <c r="A27" s="10"/>
      <c r="B27" s="10"/>
      <c r="C27" s="10"/>
    </row>
    <row r="28" spans="1:7" ht="13" x14ac:dyDescent="0.3">
      <c r="A28" s="10"/>
      <c r="B28" s="10"/>
      <c r="C28" s="10"/>
    </row>
    <row r="29" spans="1:7" ht="13" x14ac:dyDescent="0.3">
      <c r="A29" s="10"/>
      <c r="B29" s="10"/>
      <c r="C29" s="10"/>
    </row>
    <row r="30" spans="1:7" ht="13" x14ac:dyDescent="0.3">
      <c r="A30" s="10"/>
      <c r="B30" s="10"/>
      <c r="C30" s="10"/>
    </row>
    <row r="31" spans="1:7" ht="13" x14ac:dyDescent="0.3">
      <c r="A31" s="10"/>
      <c r="B31" s="10"/>
      <c r="C31" s="10"/>
    </row>
    <row r="32" spans="1:7" ht="13" x14ac:dyDescent="0.3">
      <c r="A32" s="10"/>
      <c r="B32" s="10"/>
      <c r="C32" s="10"/>
    </row>
    <row r="33" spans="1:3" ht="13" x14ac:dyDescent="0.3">
      <c r="A33" s="10"/>
      <c r="B33" s="10"/>
      <c r="C33" s="10"/>
    </row>
    <row r="34" spans="1:3" ht="13" x14ac:dyDescent="0.3">
      <c r="A34" s="10"/>
      <c r="B34" s="10"/>
      <c r="C34" s="10"/>
    </row>
    <row r="35" spans="1:3" ht="13" x14ac:dyDescent="0.3">
      <c r="A35" s="10"/>
      <c r="B35" s="10"/>
      <c r="C35" s="10"/>
    </row>
    <row r="36" spans="1:3" ht="13" x14ac:dyDescent="0.3">
      <c r="A36" s="10"/>
      <c r="B36" s="10"/>
      <c r="C36" s="10"/>
    </row>
    <row r="37" spans="1:3" ht="13" x14ac:dyDescent="0.3">
      <c r="A37" s="10"/>
      <c r="B37" s="10"/>
      <c r="C37" s="10"/>
    </row>
    <row r="38" spans="1:3" ht="13" x14ac:dyDescent="0.3">
      <c r="A38" s="10"/>
      <c r="B38" s="10"/>
      <c r="C38" s="10"/>
    </row>
    <row r="39" spans="1:3" ht="13" x14ac:dyDescent="0.3">
      <c r="A39" s="10"/>
      <c r="B39" s="10"/>
      <c r="C39" s="10"/>
    </row>
    <row r="40" spans="1:3" ht="13" x14ac:dyDescent="0.3">
      <c r="A40" s="10"/>
      <c r="B40" s="10"/>
      <c r="C40" s="10"/>
    </row>
    <row r="41" spans="1:3" ht="13" x14ac:dyDescent="0.3">
      <c r="A41" s="10"/>
      <c r="B41" s="10"/>
      <c r="C41" s="10"/>
    </row>
    <row r="42" spans="1:3" ht="13" x14ac:dyDescent="0.3">
      <c r="A42" s="10"/>
      <c r="B42" s="10"/>
      <c r="C42" s="10"/>
    </row>
    <row r="43" spans="1:3" ht="13" x14ac:dyDescent="0.3">
      <c r="A43" s="10"/>
      <c r="B43" s="10"/>
      <c r="C43" s="10"/>
    </row>
    <row r="44" spans="1:3" ht="13" x14ac:dyDescent="0.3">
      <c r="A44" s="10"/>
      <c r="B44" s="10"/>
      <c r="C44" s="10"/>
    </row>
    <row r="45" spans="1:3" ht="13" x14ac:dyDescent="0.3">
      <c r="A45" s="10"/>
      <c r="B45" s="10"/>
      <c r="C45" s="10"/>
    </row>
    <row r="46" spans="1:3" ht="13" x14ac:dyDescent="0.3">
      <c r="A46" s="10"/>
      <c r="B46" s="10"/>
      <c r="C46" s="10"/>
    </row>
    <row r="47" spans="1:3" ht="13" x14ac:dyDescent="0.3">
      <c r="A47" s="10"/>
      <c r="B47" s="10"/>
      <c r="C47" s="10"/>
    </row>
    <row r="48" spans="1:3" ht="13" x14ac:dyDescent="0.3">
      <c r="A48" s="10"/>
      <c r="B48" s="10"/>
      <c r="C48" s="10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A38E2-F795-4B5E-A972-4B23E4BA7AFF}">
  <dimension ref="B6:K31"/>
  <sheetViews>
    <sheetView tabSelected="1" topLeftCell="A12" workbookViewId="0">
      <selection activeCell="I31" sqref="I31"/>
    </sheetView>
  </sheetViews>
  <sheetFormatPr defaultRowHeight="12.5" x14ac:dyDescent="0.25"/>
  <cols>
    <col min="2" max="2" width="23.7265625" bestFit="1" customWidth="1"/>
    <col min="3" max="3" width="8" bestFit="1" customWidth="1"/>
    <col min="4" max="4" width="20.36328125" customWidth="1"/>
    <col min="5" max="5" width="11.08984375" customWidth="1"/>
    <col min="6" max="6" width="11.7265625" customWidth="1"/>
    <col min="7" max="7" width="20.7265625" customWidth="1"/>
    <col min="8" max="8" width="18.26953125" customWidth="1"/>
    <col min="10" max="11" width="16.7265625" bestFit="1" customWidth="1"/>
  </cols>
  <sheetData>
    <row r="6" spans="2:11" x14ac:dyDescent="0.25">
      <c r="B6" s="30"/>
      <c r="C6" s="30"/>
      <c r="D6" s="30"/>
      <c r="E6" s="30"/>
      <c r="F6" s="30"/>
      <c r="G6" s="30"/>
      <c r="H6" s="30"/>
      <c r="I6" s="30"/>
    </row>
    <row r="7" spans="2:11" ht="15" thickBot="1" x14ac:dyDescent="0.4">
      <c r="B7" s="30"/>
      <c r="C7" s="31"/>
      <c r="D7" s="32" t="s">
        <v>149</v>
      </c>
      <c r="E7" s="32" t="s">
        <v>150</v>
      </c>
      <c r="F7" s="32" t="s">
        <v>151</v>
      </c>
      <c r="G7" s="32" t="s">
        <v>154</v>
      </c>
      <c r="H7" s="32" t="s">
        <v>152</v>
      </c>
      <c r="I7" s="30"/>
    </row>
    <row r="8" spans="2:11" ht="14.5" x14ac:dyDescent="0.35">
      <c r="B8" s="30"/>
      <c r="C8" s="31">
        <v>1</v>
      </c>
      <c r="D8" s="33">
        <v>44742.943749999999</v>
      </c>
      <c r="E8" s="34">
        <v>42.076427000000002</v>
      </c>
      <c r="F8" s="34">
        <v>-70.243111999999996</v>
      </c>
      <c r="G8" s="33">
        <v>44839.456250000003</v>
      </c>
      <c r="H8" s="35">
        <f>G8-D8</f>
        <v>96.512500000004366</v>
      </c>
      <c r="I8" s="30"/>
    </row>
    <row r="9" spans="2:11" ht="14.5" x14ac:dyDescent="0.35">
      <c r="B9" s="30"/>
      <c r="C9" s="31">
        <v>2</v>
      </c>
      <c r="D9" s="33">
        <v>44740.851388888892</v>
      </c>
      <c r="E9" s="34">
        <v>42.019872999999997</v>
      </c>
      <c r="F9" s="34">
        <v>-69.971596000000005</v>
      </c>
      <c r="G9" s="33"/>
      <c r="H9" s="35">
        <v>0</v>
      </c>
      <c r="I9" s="30"/>
    </row>
    <row r="10" spans="2:11" ht="14.5" x14ac:dyDescent="0.35">
      <c r="B10" s="30"/>
      <c r="C10" s="31">
        <v>3</v>
      </c>
      <c r="D10" s="33">
        <v>44742.803472222222</v>
      </c>
      <c r="E10" s="34">
        <v>42.161428999999998</v>
      </c>
      <c r="F10" s="34">
        <v>-70.110006999999996</v>
      </c>
      <c r="G10" s="33">
        <v>44778.502245370371</v>
      </c>
      <c r="H10" s="35">
        <f t="shared" ref="H10:H20" si="0">G10-D10</f>
        <v>35.698773148149485</v>
      </c>
      <c r="I10" s="30"/>
    </row>
    <row r="11" spans="2:11" ht="14.5" x14ac:dyDescent="0.35">
      <c r="B11" s="30"/>
      <c r="C11" s="31">
        <v>4</v>
      </c>
      <c r="D11" s="33">
        <v>44745.638888888891</v>
      </c>
      <c r="E11" s="34">
        <v>42.138857999999999</v>
      </c>
      <c r="F11" s="34">
        <v>-70.159531000000001</v>
      </c>
      <c r="G11" s="33">
        <v>44763.304386574076</v>
      </c>
      <c r="H11" s="35">
        <f t="shared" si="0"/>
        <v>17.665497685185983</v>
      </c>
      <c r="I11" s="30"/>
    </row>
    <row r="12" spans="2:11" ht="14.5" x14ac:dyDescent="0.35">
      <c r="B12" s="30"/>
      <c r="C12" s="31">
        <v>5</v>
      </c>
      <c r="D12" s="33">
        <v>44746.620138888888</v>
      </c>
      <c r="E12" s="34">
        <v>42.123652</v>
      </c>
      <c r="F12" s="34">
        <v>-70.181951999999995</v>
      </c>
      <c r="G12" s="33">
        <v>44780.423310185186</v>
      </c>
      <c r="H12" s="35">
        <f t="shared" si="0"/>
        <v>33.803171296298387</v>
      </c>
      <c r="I12" s="30"/>
    </row>
    <row r="13" spans="2:11" ht="14.5" x14ac:dyDescent="0.35">
      <c r="B13" s="30"/>
      <c r="C13" s="31">
        <v>6</v>
      </c>
      <c r="D13" s="33">
        <v>44745.588888888888</v>
      </c>
      <c r="E13" s="34">
        <v>42.121316</v>
      </c>
      <c r="F13" s="34">
        <v>-70.146879999999996</v>
      </c>
      <c r="G13" s="33">
        <v>44766.534930555557</v>
      </c>
      <c r="H13" s="35">
        <f t="shared" si="0"/>
        <v>20.946041666669771</v>
      </c>
      <c r="I13" s="30"/>
    </row>
    <row r="14" spans="2:11" ht="14.5" x14ac:dyDescent="0.35">
      <c r="B14" s="30"/>
      <c r="C14" s="31">
        <v>7</v>
      </c>
      <c r="D14" s="33">
        <v>44745.61041666667</v>
      </c>
      <c r="E14" s="34">
        <v>42.127166000000003</v>
      </c>
      <c r="F14" s="34">
        <v>-70.158700999999994</v>
      </c>
      <c r="G14" s="33">
        <v>44775.852187500001</v>
      </c>
      <c r="H14" s="35">
        <f t="shared" si="0"/>
        <v>30.24177083333052</v>
      </c>
      <c r="I14" s="30"/>
      <c r="J14" s="29"/>
      <c r="K14" s="29"/>
    </row>
    <row r="15" spans="2:11" ht="14.5" x14ac:dyDescent="0.35">
      <c r="B15" s="30"/>
      <c r="C15" s="31">
        <v>8</v>
      </c>
      <c r="D15" s="36">
        <v>44746.636111111111</v>
      </c>
      <c r="E15" s="37">
        <v>42.132337999999997</v>
      </c>
      <c r="F15" s="37">
        <v>-70.165165000000002</v>
      </c>
      <c r="G15" s="36">
        <v>44780.23265046296</v>
      </c>
      <c r="H15" s="38">
        <f t="shared" si="0"/>
        <v>33.59653935184906</v>
      </c>
      <c r="I15" s="30"/>
      <c r="J15" s="29"/>
      <c r="K15" s="29"/>
    </row>
    <row r="16" spans="2:11" ht="14.5" x14ac:dyDescent="0.35">
      <c r="B16" s="30"/>
      <c r="C16" s="31">
        <v>9</v>
      </c>
      <c r="D16" s="33">
        <v>45132.623611111114</v>
      </c>
      <c r="E16" s="34">
        <v>42.106588000000002</v>
      </c>
      <c r="F16" s="34">
        <v>-70.195516999999995</v>
      </c>
      <c r="G16" s="33">
        <v>45143.985879629632</v>
      </c>
      <c r="H16" s="35">
        <f t="shared" si="0"/>
        <v>11.362268518518249</v>
      </c>
      <c r="I16" s="30"/>
    </row>
    <row r="17" spans="2:9" ht="14.5" x14ac:dyDescent="0.35">
      <c r="B17" s="30"/>
      <c r="C17" s="31">
        <v>10</v>
      </c>
      <c r="D17" s="33">
        <v>45132.647222222222</v>
      </c>
      <c r="E17" s="34">
        <v>42.105674</v>
      </c>
      <c r="F17" s="34">
        <v>-70.193746000000004</v>
      </c>
      <c r="G17" s="33">
        <v>45147.47550925926</v>
      </c>
      <c r="H17" s="35">
        <f t="shared" si="0"/>
        <v>14.828287037038535</v>
      </c>
      <c r="I17" s="30"/>
    </row>
    <row r="18" spans="2:9" ht="14.5" x14ac:dyDescent="0.35">
      <c r="B18" s="30"/>
      <c r="C18" s="31">
        <v>11</v>
      </c>
      <c r="D18" s="33">
        <v>45132.688194444447</v>
      </c>
      <c r="E18" s="34">
        <v>42.106597000000001</v>
      </c>
      <c r="F18" s="34">
        <v>-70.215326000000005</v>
      </c>
      <c r="G18" s="33">
        <v>45150.413437499999</v>
      </c>
      <c r="H18" s="35">
        <f t="shared" si="0"/>
        <v>17.72524305555271</v>
      </c>
      <c r="I18" s="30"/>
    </row>
    <row r="19" spans="2:9" ht="14.5" x14ac:dyDescent="0.35">
      <c r="B19" s="30"/>
      <c r="C19" s="31">
        <v>12</v>
      </c>
      <c r="D19" s="33">
        <v>45132.713888888888</v>
      </c>
      <c r="E19" s="34">
        <v>42.134957999999997</v>
      </c>
      <c r="F19" s="34">
        <v>-70.245268999999993</v>
      </c>
      <c r="G19" s="33">
        <v>45135.56759259259</v>
      </c>
      <c r="H19" s="35">
        <f t="shared" si="0"/>
        <v>2.8537037037021946</v>
      </c>
      <c r="I19" s="30"/>
    </row>
    <row r="20" spans="2:9" ht="14.5" x14ac:dyDescent="0.35">
      <c r="B20" s="30"/>
      <c r="C20" s="31">
        <v>13</v>
      </c>
      <c r="D20" s="33">
        <v>45148.632638888892</v>
      </c>
      <c r="E20" s="34">
        <v>42.102891999999997</v>
      </c>
      <c r="F20" s="34">
        <v>-70.184601999999998</v>
      </c>
      <c r="G20" s="33">
        <v>45163.382928240739</v>
      </c>
      <c r="H20" s="35">
        <f t="shared" si="0"/>
        <v>14.750289351846732</v>
      </c>
      <c r="I20" s="30"/>
    </row>
    <row r="21" spans="2:9" ht="14.5" x14ac:dyDescent="0.35">
      <c r="B21" s="30"/>
      <c r="C21" s="31">
        <v>14</v>
      </c>
      <c r="D21" s="33">
        <v>45176.685416666667</v>
      </c>
      <c r="E21" s="34">
        <v>42.535434979999998</v>
      </c>
      <c r="F21" s="34">
        <v>-69.765185192000004</v>
      </c>
      <c r="G21" s="33"/>
      <c r="H21" s="35">
        <v>0</v>
      </c>
      <c r="I21" s="30"/>
    </row>
    <row r="22" spans="2:9" ht="14.5" x14ac:dyDescent="0.35">
      <c r="B22" s="30"/>
      <c r="C22" s="31">
        <v>15</v>
      </c>
      <c r="D22" s="36">
        <v>45211.598611111112</v>
      </c>
      <c r="E22" s="37">
        <v>42.7636939008</v>
      </c>
      <c r="F22" s="37">
        <v>-69.365686336500005</v>
      </c>
      <c r="G22" s="36">
        <v>45212.489062499997</v>
      </c>
      <c r="H22" s="38">
        <f t="shared" ref="H22:H29" si="1">G22-D22</f>
        <v>0.890451388884685</v>
      </c>
      <c r="I22" s="30"/>
    </row>
    <row r="23" spans="2:9" ht="14.5" x14ac:dyDescent="0.35">
      <c r="B23" s="30"/>
      <c r="C23" s="31">
        <v>16</v>
      </c>
      <c r="D23" s="33">
        <v>45465.611805555556</v>
      </c>
      <c r="E23" s="34">
        <v>42.222117222222202</v>
      </c>
      <c r="F23" s="34">
        <v>-70.362030555555506</v>
      </c>
      <c r="G23" s="33">
        <v>45492.749710648146</v>
      </c>
      <c r="H23" s="35">
        <f t="shared" si="1"/>
        <v>27.13790509258979</v>
      </c>
      <c r="I23" s="30"/>
    </row>
    <row r="24" spans="2:9" ht="14.5" x14ac:dyDescent="0.35">
      <c r="B24" s="30"/>
      <c r="C24" s="31">
        <v>17</v>
      </c>
      <c r="D24" s="33">
        <v>45495.679861111108</v>
      </c>
      <c r="E24" s="34">
        <v>42.474052222222198</v>
      </c>
      <c r="F24" s="34">
        <v>-70.470794166666707</v>
      </c>
      <c r="G24" s="33">
        <v>45555.473425925928</v>
      </c>
      <c r="H24" s="35">
        <f t="shared" si="1"/>
        <v>59.793564814819547</v>
      </c>
      <c r="I24" s="30"/>
    </row>
    <row r="25" spans="2:9" ht="14.5" x14ac:dyDescent="0.35">
      <c r="B25" s="30"/>
      <c r="C25" s="31">
        <v>18</v>
      </c>
      <c r="D25" s="33">
        <v>45500.754861111112</v>
      </c>
      <c r="E25" s="34">
        <v>41.744257222222203</v>
      </c>
      <c r="F25" s="34">
        <v>-69.703176388888906</v>
      </c>
      <c r="G25" s="33">
        <v>45533.434421296297</v>
      </c>
      <c r="H25" s="35">
        <f t="shared" si="1"/>
        <v>32.679560185184528</v>
      </c>
      <c r="I25" s="30"/>
    </row>
    <row r="26" spans="2:9" ht="14.5" x14ac:dyDescent="0.35">
      <c r="B26" s="30"/>
      <c r="C26" s="31">
        <v>19</v>
      </c>
      <c r="D26" s="33">
        <v>45506.660416666666</v>
      </c>
      <c r="E26" s="34">
        <v>42.188938611111098</v>
      </c>
      <c r="F26" s="34">
        <v>-69.947391666666704</v>
      </c>
      <c r="G26" s="33">
        <v>45509.190439814818</v>
      </c>
      <c r="H26" s="35">
        <f t="shared" si="1"/>
        <v>2.5300231481523952</v>
      </c>
      <c r="I26" s="30"/>
    </row>
    <row r="27" spans="2:9" ht="14.5" x14ac:dyDescent="0.35">
      <c r="B27" s="30"/>
      <c r="C27" s="31">
        <v>20</v>
      </c>
      <c r="D27" s="33">
        <v>45512.729861111111</v>
      </c>
      <c r="E27" s="34">
        <v>44.8782</v>
      </c>
      <c r="F27" s="34">
        <v>-66.432299999999998</v>
      </c>
      <c r="G27" s="33">
        <v>45555.981585648151</v>
      </c>
      <c r="H27" s="35">
        <f t="shared" si="1"/>
        <v>43.251724537039991</v>
      </c>
      <c r="I27" s="30"/>
    </row>
    <row r="28" spans="2:9" ht="14.5" x14ac:dyDescent="0.35">
      <c r="B28" s="30"/>
      <c r="C28" s="31">
        <v>21</v>
      </c>
      <c r="D28" s="33">
        <v>45512.877083333333</v>
      </c>
      <c r="E28" s="34">
        <v>44.853299999999997</v>
      </c>
      <c r="F28" s="34">
        <v>-66.403800000000004</v>
      </c>
      <c r="G28" s="33">
        <v>45539.005173611113</v>
      </c>
      <c r="H28" s="35">
        <f t="shared" si="1"/>
        <v>26.128090277779847</v>
      </c>
      <c r="I28" s="30"/>
    </row>
    <row r="29" spans="2:9" ht="14.5" x14ac:dyDescent="0.35">
      <c r="B29" s="30"/>
      <c r="C29" s="31">
        <v>22</v>
      </c>
      <c r="D29" s="39">
        <v>45551.785416666666</v>
      </c>
      <c r="E29" s="40">
        <v>41.999676721199997</v>
      </c>
      <c r="F29" s="40">
        <v>-69.765808805800006</v>
      </c>
      <c r="G29" s="39">
        <v>45572.870682870373</v>
      </c>
      <c r="H29" s="41">
        <f t="shared" si="1"/>
        <v>21.085266203706851</v>
      </c>
      <c r="I29" s="30"/>
    </row>
    <row r="30" spans="2:9" ht="15" thickBot="1" x14ac:dyDescent="0.4">
      <c r="B30" s="30"/>
      <c r="C30" s="31"/>
      <c r="D30" s="42"/>
      <c r="E30" s="42"/>
      <c r="F30" s="42"/>
      <c r="G30" s="42" t="s">
        <v>153</v>
      </c>
      <c r="H30" s="43">
        <f>AVERAGE(H8:H29)</f>
        <v>24.703666877104709</v>
      </c>
      <c r="I30" s="41">
        <f>AVERAGE(H23:H29,H10:H20,H8)</f>
        <v>28.557379995127313</v>
      </c>
    </row>
    <row r="31" spans="2:9" ht="13" thickTop="1" x14ac:dyDescent="0.25">
      <c r="B31" s="30"/>
      <c r="C31" s="30"/>
      <c r="D31" s="30"/>
      <c r="E31" s="30"/>
      <c r="F31" s="30"/>
      <c r="G31" s="30"/>
      <c r="H31" s="30"/>
      <c r="I31" s="30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DEPLOYMENTS</vt:lpstr>
      <vt:lpstr>Start_End</vt:lpstr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Battaile</cp:lastModifiedBy>
  <dcterms:modified xsi:type="dcterms:W3CDTF">2026-03-02T15:22:04Z</dcterms:modified>
</cp:coreProperties>
</file>